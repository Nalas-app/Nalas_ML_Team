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codeName="ThisWorkbook"/>
  <bookViews>
    <workbookView xWindow="0" yWindow="0" windowWidth="19420" windowHeight="9780" tabRatio="924" activeTab="2"/>
  </bookViews>
  <sheets>
    <sheet name="Inventory List" sheetId="1" r:id="rId1"/>
    <sheet name="Sheet2" sheetId="3" r:id="rId2"/>
    <sheet name="Price" sheetId="2" r:id="rId3"/>
    <sheet name="Lunch Sambar" sheetId="5" r:id="rId4"/>
    <sheet name="Rasam" sheetId="4" r:id="rId5"/>
    <sheet name="Pasi Paruppu" sheetId="6" r:id="rId6"/>
    <sheet name="PULI KUZHAMBU" sheetId="8" r:id="rId7"/>
    <sheet name="MOOR KUZHABU" sheetId="9" r:id="rId8"/>
    <sheet name=" CUTLET" sheetId="10" r:id="rId9"/>
    <sheet name="PORIYAL" sheetId="11" r:id="rId10"/>
    <sheet name="KOOTU" sheetId="12" r:id="rId11"/>
    <sheet name="KARA CURRY" sheetId="13" r:id="rId12"/>
    <sheet name="PARUPPU VADAI" sheetId="14" r:id="rId13"/>
    <sheet name="PAYASAM" sheetId="15" r:id="rId14"/>
    <sheet name="TIFFEN SAMBAR" sheetId="16" r:id="rId15"/>
    <sheet name="UPMA" sheetId="17" r:id="rId16"/>
    <sheet name="PONGAL" sheetId="18" r:id="rId17"/>
    <sheet name="RAVA KICHADI" sheetId="19" r:id="rId18"/>
    <sheet name="POORI MASALA" sheetId="20" r:id="rId19"/>
    <sheet name="ULLUNDHU VADAI" sheetId="21" r:id="rId20"/>
    <sheet name="CURD RICE" sheetId="22" r:id="rId21"/>
    <sheet name="VEG BIRYANI" sheetId="23" r:id="rId22"/>
    <sheet name="CHI R MUTTON BIRYANI" sheetId="24" r:id="rId23"/>
    <sheet name="GHEE RICE" sheetId="25" r:id="rId24"/>
    <sheet name="KADALA CURRY" sheetId="26" r:id="rId25"/>
    <sheet name="CHI OR MUT KULAMBHU" sheetId="27" r:id="rId26"/>
    <sheet name="PANNER BUTTER MASALA" sheetId="28" r:id="rId27"/>
    <sheet name="KARA CHATNI" sheetId="29" r:id="rId28"/>
    <sheet name="TOMATO CHATNI" sheetId="30" r:id="rId29"/>
    <sheet name="COCONUT CHATNI" sheetId="31" r:id="rId30"/>
    <sheet name="COFFEE TEA SUKKU PAAL" sheetId="32" r:id="rId31"/>
  </sheets>
  <externalReferences>
    <externalReference r:id="rId32"/>
  </externalReferences>
  <definedNames>
    <definedName name="_xlnm._FilterDatabase" localSheetId="0" hidden="1">'Inventory List'!$K$2</definedName>
    <definedName name="_xlnm.Print_Titles" localSheetId="0">'Inventory List'!$1:$3</definedName>
    <definedName name="valHighlight">IFERROR(IF('Inventory List'!#REF!="Yes", TRUE, FALSE),FALSE)</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5" i="32"/>
  <c r="E14"/>
  <c r="E13"/>
  <c r="K6"/>
  <c r="K5"/>
  <c r="K4"/>
  <c r="E8"/>
  <c r="E7"/>
  <c r="E6"/>
  <c r="E5"/>
  <c r="E4"/>
  <c r="E24" i="26"/>
  <c r="E23" i="25"/>
  <c r="C10" i="24" l="1"/>
  <c r="C11"/>
  <c r="C5"/>
  <c r="C6"/>
  <c r="C19"/>
  <c r="E19" s="1"/>
  <c r="C17"/>
  <c r="E17" s="1"/>
  <c r="E27"/>
  <c r="C22"/>
  <c r="E22" s="1"/>
  <c r="C21"/>
  <c r="E21" s="1"/>
  <c r="C20"/>
  <c r="E20" s="1"/>
  <c r="C18"/>
  <c r="E18" s="1"/>
  <c r="E16"/>
  <c r="C16"/>
  <c r="C15"/>
  <c r="E15" s="1"/>
  <c r="C14"/>
  <c r="E14" s="1"/>
  <c r="C13"/>
  <c r="E13" s="1"/>
  <c r="E12"/>
  <c r="C9"/>
  <c r="E9" s="1"/>
  <c r="C8"/>
  <c r="E8" s="1"/>
  <c r="C7"/>
  <c r="E7" s="1"/>
  <c r="C4"/>
  <c r="E4" s="1"/>
  <c r="E26" i="23"/>
  <c r="C21"/>
  <c r="E21" s="1"/>
  <c r="C20"/>
  <c r="E20" s="1"/>
  <c r="C19"/>
  <c r="E19" s="1"/>
  <c r="C18"/>
  <c r="E18" s="1"/>
  <c r="C17"/>
  <c r="E17" s="1"/>
  <c r="C16"/>
  <c r="E16" s="1"/>
  <c r="C15"/>
  <c r="E15" s="1"/>
  <c r="C14"/>
  <c r="E14" s="1"/>
  <c r="C13"/>
  <c r="E13" s="1"/>
  <c r="E12"/>
  <c r="C9"/>
  <c r="E9" s="1"/>
  <c r="C8"/>
  <c r="E8" s="1"/>
  <c r="C7"/>
  <c r="E7" s="1"/>
  <c r="C4"/>
  <c r="E4" s="1"/>
  <c r="C11" i="22"/>
  <c r="E11" s="1"/>
  <c r="E16"/>
  <c r="C10"/>
  <c r="E10" s="1"/>
  <c r="E9"/>
  <c r="C8"/>
  <c r="E8" s="1"/>
  <c r="C7"/>
  <c r="E7" s="1"/>
  <c r="C6"/>
  <c r="E6" s="1"/>
  <c r="C5"/>
  <c r="E5" s="1"/>
  <c r="E4"/>
  <c r="C4"/>
  <c r="E16" i="21"/>
  <c r="C10"/>
  <c r="E10" s="1"/>
  <c r="E9"/>
  <c r="C8"/>
  <c r="E8" s="1"/>
  <c r="C7"/>
  <c r="E7" s="1"/>
  <c r="C6"/>
  <c r="E6" s="1"/>
  <c r="C5"/>
  <c r="E5" s="1"/>
  <c r="C4"/>
  <c r="E4" s="1"/>
  <c r="I7" i="20"/>
  <c r="K7" s="1"/>
  <c r="I6"/>
  <c r="K6" s="1"/>
  <c r="K5"/>
  <c r="I5"/>
  <c r="I4"/>
  <c r="K4" s="1"/>
  <c r="E20"/>
  <c r="C15"/>
  <c r="E15" s="1"/>
  <c r="C14"/>
  <c r="E14" s="1"/>
  <c r="C13"/>
  <c r="E13" s="1"/>
  <c r="C12"/>
  <c r="E12" s="1"/>
  <c r="C11"/>
  <c r="E11" s="1"/>
  <c r="C10"/>
  <c r="E10" s="1"/>
  <c r="E9"/>
  <c r="C8"/>
  <c r="E8" s="1"/>
  <c r="C7"/>
  <c r="E7" s="1"/>
  <c r="C6"/>
  <c r="E6" s="1"/>
  <c r="C5"/>
  <c r="E5" s="1"/>
  <c r="C4"/>
  <c r="E4" s="1"/>
  <c r="E25" i="19"/>
  <c r="E19"/>
  <c r="C19"/>
  <c r="C18"/>
  <c r="E18" s="1"/>
  <c r="C17"/>
  <c r="E17" s="1"/>
  <c r="C16"/>
  <c r="E16" s="1"/>
  <c r="C15"/>
  <c r="E15" s="1"/>
  <c r="C14"/>
  <c r="E14" s="1"/>
  <c r="C13"/>
  <c r="E13" s="1"/>
  <c r="C12"/>
  <c r="E12" s="1"/>
  <c r="C11"/>
  <c r="E11" s="1"/>
  <c r="C10"/>
  <c r="E10" s="1"/>
  <c r="E9"/>
  <c r="C8"/>
  <c r="E8" s="1"/>
  <c r="C7"/>
  <c r="E7" s="1"/>
  <c r="C6"/>
  <c r="E6" s="1"/>
  <c r="C5"/>
  <c r="E5" s="1"/>
  <c r="C4"/>
  <c r="E4" s="1"/>
  <c r="E21" i="18"/>
  <c r="C14"/>
  <c r="E14" s="1"/>
  <c r="C13"/>
  <c r="E13" s="1"/>
  <c r="C12"/>
  <c r="E12" s="1"/>
  <c r="C11"/>
  <c r="E11" s="1"/>
  <c r="C10"/>
  <c r="E10" s="1"/>
  <c r="E9"/>
  <c r="C8"/>
  <c r="E8" s="1"/>
  <c r="C7"/>
  <c r="E7" s="1"/>
  <c r="C6"/>
  <c r="E6" s="1"/>
  <c r="C5"/>
  <c r="E5" s="1"/>
  <c r="C4"/>
  <c r="E4" s="1"/>
  <c r="E21" i="17"/>
  <c r="C15"/>
  <c r="E15" s="1"/>
  <c r="C14"/>
  <c r="E14" s="1"/>
  <c r="E13"/>
  <c r="C13"/>
  <c r="C12"/>
  <c r="E12" s="1"/>
  <c r="C11"/>
  <c r="E11" s="1"/>
  <c r="C10"/>
  <c r="E10" s="1"/>
  <c r="E9"/>
  <c r="C8"/>
  <c r="E8" s="1"/>
  <c r="C7"/>
  <c r="E7" s="1"/>
  <c r="C6"/>
  <c r="E6" s="1"/>
  <c r="C5"/>
  <c r="E5" s="1"/>
  <c r="C4"/>
  <c r="E4" s="1"/>
  <c r="E30" i="16" l="1"/>
  <c r="C23"/>
  <c r="E23" s="1"/>
  <c r="C22"/>
  <c r="E22" s="1"/>
  <c r="C21"/>
  <c r="E21" s="1"/>
  <c r="C20"/>
  <c r="E20" s="1"/>
  <c r="C19"/>
  <c r="E19" s="1"/>
  <c r="C18"/>
  <c r="E18" s="1"/>
  <c r="C17"/>
  <c r="E17" s="1"/>
  <c r="E16"/>
  <c r="C16"/>
  <c r="C15"/>
  <c r="E15" s="1"/>
  <c r="C14"/>
  <c r="E14" s="1"/>
  <c r="C13"/>
  <c r="E13" s="1"/>
  <c r="C12"/>
  <c r="E12" s="1"/>
  <c r="C11"/>
  <c r="E11" s="1"/>
  <c r="C10"/>
  <c r="E10" s="1"/>
  <c r="E9"/>
  <c r="E8"/>
  <c r="C8"/>
  <c r="C7"/>
  <c r="E7" s="1"/>
  <c r="C6"/>
  <c r="E6" s="1"/>
  <c r="C5"/>
  <c r="E5" s="1"/>
  <c r="C4"/>
  <c r="E4" s="1"/>
  <c r="C5" i="15"/>
  <c r="E5" s="1"/>
  <c r="C6"/>
  <c r="C7"/>
  <c r="E7" s="1"/>
  <c r="C8"/>
  <c r="E8" s="1"/>
  <c r="C9"/>
  <c r="C4"/>
  <c r="E4" s="1"/>
  <c r="E15"/>
  <c r="E9"/>
  <c r="E6"/>
  <c r="E18" i="14"/>
  <c r="C13"/>
  <c r="E13" s="1"/>
  <c r="C12"/>
  <c r="E12" s="1"/>
  <c r="C11"/>
  <c r="E11" s="1"/>
  <c r="C10"/>
  <c r="E10" s="1"/>
  <c r="E9"/>
  <c r="C8"/>
  <c r="E8" s="1"/>
  <c r="C7"/>
  <c r="E7" s="1"/>
  <c r="C6"/>
  <c r="E6" s="1"/>
  <c r="C5"/>
  <c r="E5" s="1"/>
  <c r="C4"/>
  <c r="E4" s="1"/>
  <c r="E30" i="13"/>
  <c r="E24"/>
  <c r="E23"/>
  <c r="E22"/>
  <c r="E21"/>
  <c r="E20"/>
  <c r="E19"/>
  <c r="E18"/>
  <c r="E17"/>
  <c r="E16"/>
  <c r="E15"/>
  <c r="E14"/>
  <c r="E13"/>
  <c r="E12"/>
  <c r="E11"/>
  <c r="E10"/>
  <c r="E9"/>
  <c r="E8"/>
  <c r="E7"/>
  <c r="E6"/>
  <c r="E5"/>
  <c r="E4"/>
  <c r="E26" i="12"/>
  <c r="C20"/>
  <c r="E20" s="1"/>
  <c r="E19"/>
  <c r="C19"/>
  <c r="E18"/>
  <c r="E17"/>
  <c r="E16"/>
  <c r="E15"/>
  <c r="E14"/>
  <c r="E13"/>
  <c r="E12"/>
  <c r="E11"/>
  <c r="E10"/>
  <c r="E9"/>
  <c r="E8"/>
  <c r="E7"/>
  <c r="E6"/>
  <c r="E5"/>
  <c r="E4"/>
  <c r="E24" i="11"/>
  <c r="C18"/>
  <c r="E18" s="1"/>
  <c r="C17"/>
  <c r="E17" s="1"/>
  <c r="C16"/>
  <c r="E16" s="1"/>
  <c r="C15"/>
  <c r="E15" s="1"/>
  <c r="C14"/>
  <c r="E14" s="1"/>
  <c r="C13"/>
  <c r="E13" s="1"/>
  <c r="C12"/>
  <c r="E12" s="1"/>
  <c r="C11"/>
  <c r="E11" s="1"/>
  <c r="C10"/>
  <c r="E10" s="1"/>
  <c r="E9"/>
  <c r="C8"/>
  <c r="E8" s="1"/>
  <c r="C7"/>
  <c r="E7" s="1"/>
  <c r="C6"/>
  <c r="E6" s="1"/>
  <c r="C5"/>
  <c r="E5" s="1"/>
  <c r="C4"/>
  <c r="E4" s="1"/>
  <c r="C21" i="10"/>
  <c r="E21"/>
  <c r="E27"/>
  <c r="C20"/>
  <c r="E20" s="1"/>
  <c r="C19"/>
  <c r="E19" s="1"/>
  <c r="C18"/>
  <c r="E18" s="1"/>
  <c r="C17"/>
  <c r="E17" s="1"/>
  <c r="C16"/>
  <c r="E16" s="1"/>
  <c r="C15"/>
  <c r="E15" s="1"/>
  <c r="C14"/>
  <c r="E14" s="1"/>
  <c r="E13"/>
  <c r="C13"/>
  <c r="C12"/>
  <c r="E12" s="1"/>
  <c r="C11"/>
  <c r="E11" s="1"/>
  <c r="C10"/>
  <c r="E10" s="1"/>
  <c r="E9"/>
  <c r="C8"/>
  <c r="E8" s="1"/>
  <c r="C7"/>
  <c r="E7" s="1"/>
  <c r="C6"/>
  <c r="E6" s="1"/>
  <c r="C5"/>
  <c r="E5" s="1"/>
  <c r="C4"/>
  <c r="E4" s="1"/>
  <c r="C16" i="9"/>
  <c r="E16" s="1"/>
  <c r="C15"/>
  <c r="E15" s="1"/>
  <c r="C14"/>
  <c r="E14" s="1"/>
  <c r="C13"/>
  <c r="E13" s="1"/>
  <c r="C12"/>
  <c r="E12" s="1"/>
  <c r="C11"/>
  <c r="E11" s="1"/>
  <c r="C10"/>
  <c r="E10" s="1"/>
  <c r="E9"/>
  <c r="C8"/>
  <c r="E8" s="1"/>
  <c r="C7"/>
  <c r="E7" s="1"/>
  <c r="C6"/>
  <c r="E6" s="1"/>
  <c r="C5"/>
  <c r="E5" s="1"/>
  <c r="C4"/>
  <c r="E4" s="1"/>
  <c r="E20" s="1"/>
  <c r="E30" i="8"/>
  <c r="E24"/>
  <c r="E23"/>
  <c r="E22"/>
  <c r="E21"/>
  <c r="E20"/>
  <c r="E19"/>
  <c r="E18"/>
  <c r="E17"/>
  <c r="E16"/>
  <c r="E15"/>
  <c r="E14"/>
  <c r="E13"/>
  <c r="E12"/>
  <c r="E11"/>
  <c r="E10"/>
  <c r="E9"/>
  <c r="E8"/>
  <c r="E7"/>
  <c r="E6"/>
  <c r="E5"/>
  <c r="E4"/>
  <c r="E30" i="5" l="1"/>
  <c r="I11" i="1" l="1"/>
  <c r="K11" s="1"/>
  <c r="M11" s="1"/>
  <c r="I12"/>
  <c r="K12" s="1"/>
  <c r="M12" s="1"/>
  <c r="I51" l="1"/>
  <c r="K51" s="1"/>
  <c r="M51" s="1"/>
  <c r="I49"/>
  <c r="K49" s="1"/>
  <c r="M49" s="1"/>
  <c r="I50" l="1"/>
  <c r="K50" s="1"/>
  <c r="M50" s="1"/>
  <c r="I35"/>
  <c r="K35" s="1"/>
  <c r="M35" s="1"/>
  <c r="I63"/>
  <c r="K63" s="1"/>
  <c r="M63" s="1"/>
  <c r="I37"/>
  <c r="K37" s="1"/>
  <c r="M37" s="1"/>
  <c r="I4" l="1"/>
  <c r="K4" s="1"/>
  <c r="M4" s="1"/>
  <c r="I5"/>
  <c r="K5" s="1"/>
  <c r="M5" s="1"/>
  <c r="I6"/>
  <c r="K6" s="1"/>
  <c r="M6" s="1"/>
  <c r="I39"/>
  <c r="K39" s="1"/>
  <c r="M39" s="1"/>
  <c r="I7"/>
  <c r="K7" s="1"/>
  <c r="M7" s="1"/>
  <c r="I8"/>
  <c r="K8" s="1"/>
  <c r="M8" s="1"/>
  <c r="I9"/>
  <c r="K9" s="1"/>
  <c r="M9" s="1"/>
  <c r="I10"/>
  <c r="K10" s="1"/>
  <c r="M10" s="1"/>
  <c r="I13"/>
  <c r="K13" s="1"/>
  <c r="M13" s="1"/>
  <c r="I14"/>
  <c r="K14" s="1"/>
  <c r="M14" s="1"/>
  <c r="I15"/>
  <c r="K15" s="1"/>
  <c r="M15" s="1"/>
  <c r="I16"/>
  <c r="K16" s="1"/>
  <c r="M16" s="1"/>
  <c r="I17"/>
  <c r="K17" s="1"/>
  <c r="M17" s="1"/>
  <c r="I18"/>
  <c r="K18" s="1"/>
  <c r="M18" s="1"/>
  <c r="I19"/>
  <c r="K19" s="1"/>
  <c r="M19" s="1"/>
  <c r="I20"/>
  <c r="K20" s="1"/>
  <c r="M20" s="1"/>
  <c r="I21"/>
  <c r="K21" s="1"/>
  <c r="M21" s="1"/>
  <c r="I22"/>
  <c r="K22" s="1"/>
  <c r="M22" s="1"/>
  <c r="I23"/>
  <c r="K23" s="1"/>
  <c r="M23" s="1"/>
  <c r="I24"/>
  <c r="K24" s="1"/>
  <c r="M24" s="1"/>
  <c r="I25"/>
  <c r="K25" s="1"/>
  <c r="M25" s="1"/>
  <c r="I26"/>
  <c r="K26" s="1"/>
  <c r="M26" s="1"/>
  <c r="I27"/>
  <c r="K27" s="1"/>
  <c r="M27" s="1"/>
  <c r="I28"/>
  <c r="K28" s="1"/>
  <c r="M28" s="1"/>
  <c r="I29"/>
  <c r="K29" s="1"/>
  <c r="M29" s="1"/>
  <c r="I30"/>
  <c r="K30" s="1"/>
  <c r="M30" s="1"/>
  <c r="I31"/>
  <c r="K31" s="1"/>
  <c r="M31" s="1"/>
  <c r="I32"/>
  <c r="K32" s="1"/>
  <c r="M32" s="1"/>
  <c r="I33"/>
  <c r="K33" s="1"/>
  <c r="M33" s="1"/>
  <c r="I34"/>
  <c r="K34" s="1"/>
  <c r="M34" s="1"/>
  <c r="I40"/>
  <c r="K40" s="1"/>
  <c r="M40" s="1"/>
  <c r="I41"/>
  <c r="K41" s="1"/>
  <c r="M41" s="1"/>
  <c r="I42"/>
  <c r="K42" s="1"/>
  <c r="M42" s="1"/>
  <c r="I43"/>
  <c r="K43" s="1"/>
  <c r="M43" s="1"/>
  <c r="I44"/>
  <c r="K44" s="1"/>
  <c r="M44" s="1"/>
  <c r="I45"/>
  <c r="K45" s="1"/>
  <c r="M45" s="1"/>
  <c r="I46"/>
  <c r="K46" s="1"/>
  <c r="M46" s="1"/>
  <c r="I47"/>
  <c r="K47" s="1"/>
  <c r="M47" s="1"/>
  <c r="I48"/>
  <c r="K48" s="1"/>
  <c r="M48" s="1"/>
  <c r="I52"/>
  <c r="K52" s="1"/>
  <c r="M52" s="1"/>
  <c r="I53"/>
  <c r="K53" s="1"/>
  <c r="M53" s="1"/>
  <c r="I54"/>
  <c r="K54" s="1"/>
  <c r="M54" s="1"/>
  <c r="I55"/>
  <c r="K55" s="1"/>
  <c r="M55" s="1"/>
  <c r="I36"/>
  <c r="K36" s="1"/>
  <c r="M36" s="1"/>
  <c r="I56"/>
  <c r="K56" s="1"/>
  <c r="M56" s="1"/>
  <c r="I57"/>
  <c r="K57" s="1"/>
  <c r="M57" s="1"/>
  <c r="I58"/>
  <c r="K58" s="1"/>
  <c r="M58" s="1"/>
  <c r="I59"/>
  <c r="K59" s="1"/>
  <c r="M59" s="1"/>
  <c r="I60"/>
  <c r="K60" s="1"/>
  <c r="M60" s="1"/>
  <c r="I61"/>
  <c r="K61" s="1"/>
  <c r="M61" s="1"/>
  <c r="I65"/>
  <c r="K65" s="1"/>
  <c r="M65" s="1"/>
  <c r="I66"/>
  <c r="K66" s="1"/>
  <c r="M66" s="1"/>
  <c r="I67"/>
  <c r="K67" s="1"/>
  <c r="M67" s="1"/>
  <c r="I64"/>
  <c r="K64" s="1"/>
  <c r="M64" s="1"/>
  <c r="I68"/>
  <c r="K68" s="1"/>
  <c r="M68" s="1"/>
  <c r="I69"/>
  <c r="K69" s="1"/>
  <c r="M69" s="1"/>
  <c r="I70"/>
  <c r="K70" s="1"/>
  <c r="M70" s="1"/>
  <c r="I71"/>
  <c r="K71" s="1"/>
  <c r="M71" s="1"/>
  <c r="I72"/>
  <c r="K72" s="1"/>
  <c r="M72" s="1"/>
  <c r="I73"/>
  <c r="K73" s="1"/>
  <c r="M73" s="1"/>
  <c r="I74"/>
  <c r="K74" s="1"/>
  <c r="M74" s="1"/>
  <c r="I75"/>
  <c r="K75" s="1"/>
  <c r="M75" s="1"/>
  <c r="I76"/>
  <c r="K76" s="1"/>
  <c r="M76" s="1"/>
  <c r="I77"/>
  <c r="K77" s="1"/>
  <c r="M77" s="1"/>
  <c r="I78"/>
  <c r="K78" s="1"/>
  <c r="M78" s="1"/>
  <c r="I79"/>
  <c r="K79" s="1"/>
  <c r="M79" s="1"/>
  <c r="I80"/>
  <c r="K80" s="1"/>
  <c r="M80" s="1"/>
  <c r="I81"/>
  <c r="K81" s="1"/>
  <c r="M81" s="1"/>
  <c r="I82"/>
  <c r="K82" s="1"/>
  <c r="M82" s="1"/>
  <c r="I83"/>
  <c r="K83" s="1"/>
  <c r="M83" s="1"/>
  <c r="I84"/>
  <c r="K84" s="1"/>
  <c r="M84" s="1"/>
  <c r="I85"/>
  <c r="K85" s="1"/>
  <c r="M85" s="1"/>
  <c r="I86"/>
  <c r="K86" s="1"/>
  <c r="M86" s="1"/>
  <c r="I87"/>
  <c r="K87" s="1"/>
  <c r="M87" s="1"/>
  <c r="I88"/>
  <c r="K88" s="1"/>
  <c r="M88" s="1"/>
  <c r="I89"/>
  <c r="K89" s="1"/>
  <c r="M89" s="1"/>
  <c r="I90"/>
  <c r="K90" s="1"/>
  <c r="M90" s="1"/>
  <c r="I91"/>
  <c r="K91" s="1"/>
  <c r="M91" s="1"/>
  <c r="I92"/>
  <c r="K92" s="1"/>
  <c r="M92" s="1"/>
  <c r="I38"/>
  <c r="K38" s="1"/>
  <c r="M38" s="1"/>
  <c r="I93"/>
  <c r="K93" s="1"/>
  <c r="M93" s="1"/>
  <c r="I94"/>
  <c r="K94" s="1"/>
  <c r="M94" s="1"/>
  <c r="I95"/>
  <c r="K95" s="1"/>
  <c r="M95" s="1"/>
  <c r="I62"/>
  <c r="K62" s="1"/>
  <c r="M62" s="1"/>
  <c r="I96"/>
  <c r="K96" s="1"/>
  <c r="M96" s="1"/>
  <c r="I97"/>
  <c r="K97" s="1"/>
  <c r="M97" s="1"/>
  <c r="D114" i="2" l="1"/>
</calcChain>
</file>

<file path=xl/sharedStrings.xml><?xml version="1.0" encoding="utf-8"?>
<sst xmlns="http://schemas.openxmlformats.org/spreadsheetml/2006/main" count="1916" uniqueCount="500">
  <si>
    <t>Highlight items to reorder?</t>
  </si>
  <si>
    <t>Inventory ID</t>
  </si>
  <si>
    <t>Name</t>
  </si>
  <si>
    <t>Description</t>
  </si>
  <si>
    <t>Unit Price</t>
  </si>
  <si>
    <t>For Reorder</t>
  </si>
  <si>
    <t xml:space="preserve"> </t>
  </si>
  <si>
    <t>Item Name</t>
  </si>
  <si>
    <t>Category Name</t>
  </si>
  <si>
    <t>Purchasing Measurement Unit</t>
  </si>
  <si>
    <t>Rate</t>
  </si>
  <si>
    <t>Garbage Cover - XL</t>
  </si>
  <si>
    <t>Cleaning Materials</t>
  </si>
  <si>
    <t>KG</t>
  </si>
  <si>
    <t>Dishwash Liquid (Soap Oil)</t>
  </si>
  <si>
    <t>LTS</t>
  </si>
  <si>
    <t>Dishwash Bar</t>
  </si>
  <si>
    <t>PCS</t>
  </si>
  <si>
    <t>Phenoyl (700 Ml)</t>
  </si>
  <si>
    <t>SCRUBBER - DISHWASH</t>
  </si>
  <si>
    <t>Butter</t>
  </si>
  <si>
    <t>Dairy Products</t>
  </si>
  <si>
    <t>Curd</t>
  </si>
  <si>
    <t>Ghee</t>
  </si>
  <si>
    <t xml:space="preserve">Milk  </t>
  </si>
  <si>
    <t>Cream</t>
  </si>
  <si>
    <t>ltr</t>
  </si>
  <si>
    <t>Panner</t>
  </si>
  <si>
    <t>Bread</t>
  </si>
  <si>
    <t>Cashew Nut (1/4) or (1/2)</t>
  </si>
  <si>
    <t>Dry Fruits</t>
  </si>
  <si>
    <t>CASHEW NUT (Thool)</t>
  </si>
  <si>
    <t>Chicken - BONELESS</t>
  </si>
  <si>
    <t>Meat &amp; Poultry</t>
  </si>
  <si>
    <t>Chicken - Janatha</t>
  </si>
  <si>
    <t>Chicken - Trimming</t>
  </si>
  <si>
    <t>Chicken - Whole Bird (Skinless)</t>
  </si>
  <si>
    <t>MUTTON - Boneless</t>
  </si>
  <si>
    <t>MUTTON - Fat</t>
  </si>
  <si>
    <t>Egg</t>
  </si>
  <si>
    <t xml:space="preserve">Prawns washed </t>
  </si>
  <si>
    <t>crab boneless</t>
  </si>
  <si>
    <t>mutton boneless</t>
  </si>
  <si>
    <t>fish</t>
  </si>
  <si>
    <t>Head Cap (Pkt)</t>
  </si>
  <si>
    <t>OTHER'S</t>
  </si>
  <si>
    <t>PKT</t>
  </si>
  <si>
    <t>Surgical Hand Gloves (Pkt)</t>
  </si>
  <si>
    <t>Ginger Paste</t>
  </si>
  <si>
    <t>Paste</t>
  </si>
  <si>
    <t>Garlic Paste</t>
  </si>
  <si>
    <t>GG Paste</t>
  </si>
  <si>
    <t>Coffee Powder</t>
  </si>
  <si>
    <t>Provisions</t>
  </si>
  <si>
    <t>Idly Batter</t>
  </si>
  <si>
    <t>Pickle (mango Thokku- 777 Brand)</t>
  </si>
  <si>
    <t>Rock Salt</t>
  </si>
  <si>
    <t>Salt</t>
  </si>
  <si>
    <t>Sugar</t>
  </si>
  <si>
    <t>Tamarind (puli)</t>
  </si>
  <si>
    <t>Tea Powder</t>
  </si>
  <si>
    <t>Refind Oil</t>
  </si>
  <si>
    <t>Drinking Water Can (20 Ltrs)</t>
  </si>
  <si>
    <t xml:space="preserve">Green Chilli Sauce (700 Ml) </t>
  </si>
  <si>
    <t xml:space="preserve">Soya Sauce (700 Ml) </t>
  </si>
  <si>
    <t>Tomato Sauce (1 Ltr)</t>
  </si>
  <si>
    <t>Vinegar (1 Ltr)</t>
  </si>
  <si>
    <t>Papad (appalam) - Round</t>
  </si>
  <si>
    <t>Coconu oil</t>
  </si>
  <si>
    <t>litre</t>
  </si>
  <si>
    <t>Gingelly oil</t>
  </si>
  <si>
    <t>peanut oil</t>
  </si>
  <si>
    <t>Basmati Rice</t>
  </si>
  <si>
    <t>Rice &amp; Others</t>
  </si>
  <si>
    <t>Bengal Gram Dhal (kadalai Paruppu)</t>
  </si>
  <si>
    <t>Boiled Rice</t>
  </si>
  <si>
    <t>Corn Flour</t>
  </si>
  <si>
    <t>Flat Rice - Thick (aval - Getti)</t>
  </si>
  <si>
    <t>Maida (Refined Flour)</t>
  </si>
  <si>
    <t>Moong Daal (paasi Paruppu)</t>
  </si>
  <si>
    <t>Rice - seeragasamba</t>
  </si>
  <si>
    <t>Rawa (sooji)</t>
  </si>
  <si>
    <t>Toor Dhal (thuvaram Paruppu)</t>
  </si>
  <si>
    <t>Urad Dhal (ulutham Paruppu)</t>
  </si>
  <si>
    <t>Vermicili (semiya) - Savorite</t>
  </si>
  <si>
    <t>Wheat Flour (atta)</t>
  </si>
  <si>
    <t>White Channa</t>
  </si>
  <si>
    <t>rice flour</t>
  </si>
  <si>
    <t>besan flour</t>
  </si>
  <si>
    <t xml:space="preserve">soya   </t>
  </si>
  <si>
    <t>Coconut powder (deoiled)</t>
  </si>
  <si>
    <t>vadai paruppu</t>
  </si>
  <si>
    <t>Bay Leaf</t>
  </si>
  <si>
    <t>Spices</t>
  </si>
  <si>
    <t>Black Pepper Corn</t>
  </si>
  <si>
    <t>Black Pepper Powder</t>
  </si>
  <si>
    <t>Cardamom (elachi)</t>
  </si>
  <si>
    <t>Channa Masala</t>
  </si>
  <si>
    <t>Chicken Masala (shakthi)</t>
  </si>
  <si>
    <t>Chilli Powder (shakthi)</t>
  </si>
  <si>
    <t>Cinnamon (pattai)</t>
  </si>
  <si>
    <t>Cloves (Kirambu)</t>
  </si>
  <si>
    <t>Coriander Powder (dhainya Powder)</t>
  </si>
  <si>
    <t>Coriander Seeds-whole (Dhaniya)</t>
  </si>
  <si>
    <t>Cumin Seeds (jeera)</t>
  </si>
  <si>
    <t>Fennel (sombu)</t>
  </si>
  <si>
    <t>Fenugreek Seeds (vendhayam)</t>
  </si>
  <si>
    <t>Fried Gram Dhal (udachakadalai)</t>
  </si>
  <si>
    <t>Garam Masala (everest)</t>
  </si>
  <si>
    <t>Groundnut</t>
  </si>
  <si>
    <t>Mustard Seed</t>
  </si>
  <si>
    <t>Red Chilli - Long</t>
  </si>
  <si>
    <t>Red Chilli - Round</t>
  </si>
  <si>
    <t>Sambar Masala (shakthi)</t>
  </si>
  <si>
    <t>Turmeric Powder</t>
  </si>
  <si>
    <t>White Pepper Powder</t>
  </si>
  <si>
    <t>kolapasi masala powder</t>
  </si>
  <si>
    <t>Keema Masala Powder</t>
  </si>
  <si>
    <t>spices</t>
  </si>
  <si>
    <t>Chukka Masala Powder</t>
  </si>
  <si>
    <t>Mutton Varuval Powder</t>
  </si>
  <si>
    <t>Prawn Masala Powder</t>
  </si>
  <si>
    <t>Garam Masala Powder</t>
  </si>
  <si>
    <t>Idli Podi</t>
  </si>
  <si>
    <t>Kadai Masala</t>
  </si>
  <si>
    <t xml:space="preserve">Kashmiri Chilli </t>
  </si>
  <si>
    <t xml:space="preserve">Asafoetida Powder (LG) </t>
  </si>
  <si>
    <t>Green chicken masala</t>
  </si>
  <si>
    <t>Biriyani Masala powder</t>
  </si>
  <si>
    <t>Changezi Masala powder</t>
  </si>
  <si>
    <t>Kasoori Methi</t>
  </si>
  <si>
    <t>Cinnamon (ceylon)</t>
  </si>
  <si>
    <t>Eilachi</t>
  </si>
  <si>
    <t>LPG Cylinder</t>
  </si>
  <si>
    <t>Utilities</t>
  </si>
  <si>
    <t>NOS</t>
  </si>
  <si>
    <t>Corinder Leaves</t>
  </si>
  <si>
    <t>Vegetable &amp; Fruits</t>
  </si>
  <si>
    <t>BUNCH</t>
  </si>
  <si>
    <t>Beans French</t>
  </si>
  <si>
    <t>Brinjal</t>
  </si>
  <si>
    <t>Cabbage</t>
  </si>
  <si>
    <t>Capsicum Green</t>
  </si>
  <si>
    <t>Carrot</t>
  </si>
  <si>
    <t>Coconut</t>
  </si>
  <si>
    <t>Cucumber</t>
  </si>
  <si>
    <t>Curry Leaves</t>
  </si>
  <si>
    <t>Garlic</t>
  </si>
  <si>
    <t>Ginger Fresh</t>
  </si>
  <si>
    <t>Green Chilli</t>
  </si>
  <si>
    <t>Lemon</t>
  </si>
  <si>
    <t>Mint Leaves</t>
  </si>
  <si>
    <t>Onions</t>
  </si>
  <si>
    <t>Potato</t>
  </si>
  <si>
    <t>Small Onions</t>
  </si>
  <si>
    <t>Tomato Country</t>
  </si>
  <si>
    <t>Cauiflower</t>
  </si>
  <si>
    <t>Copra</t>
  </si>
  <si>
    <t>Garlic Dehyrdated</t>
  </si>
  <si>
    <t>Pineapple</t>
  </si>
  <si>
    <t>piece</t>
  </si>
  <si>
    <t>stock water</t>
  </si>
  <si>
    <t>Thuvaram Paruppu       (Toor Dhaal)</t>
  </si>
  <si>
    <t>Paasi        Paruppu     (Moong Dhal)</t>
  </si>
  <si>
    <t>Kadalai     Paruppu</t>
  </si>
  <si>
    <t>Vadai       Paruppu</t>
  </si>
  <si>
    <t>Thatta      Payyuru</t>
  </si>
  <si>
    <t>Pachai      Payyuru</t>
  </si>
  <si>
    <t>Pachai      Kadalai</t>
  </si>
  <si>
    <t>Sunflower Oil</t>
  </si>
  <si>
    <t>Coconut    Oil</t>
  </si>
  <si>
    <t>Grounut    Oil</t>
  </si>
  <si>
    <t>Gingelly    Oil</t>
  </si>
  <si>
    <t>Idli                 Rice</t>
  </si>
  <si>
    <t>SS                   Rice</t>
  </si>
  <si>
    <t xml:space="preserve">Biryani         Rice  </t>
  </si>
  <si>
    <t>Biryani         Rice  KP</t>
  </si>
  <si>
    <t>Vellam</t>
  </si>
  <si>
    <t>Uruttu      Ullundhu</t>
  </si>
  <si>
    <t>Turmeric             Powder</t>
  </si>
  <si>
    <t xml:space="preserve">Asafoetida        Cake     (LG) </t>
  </si>
  <si>
    <t>Garam Masala       Powder</t>
  </si>
  <si>
    <t xml:space="preserve">Asafoetida         Powder (LG) </t>
  </si>
  <si>
    <t>Malli                   Powder</t>
  </si>
  <si>
    <t>Sambar Masala      Powder</t>
  </si>
  <si>
    <t>Chilly     Masala     Powder</t>
  </si>
  <si>
    <t>Mutton Masala     Powder</t>
  </si>
  <si>
    <t>Chicken Masala    Powder</t>
  </si>
  <si>
    <t>Vellai       Rava</t>
  </si>
  <si>
    <t>Samiya</t>
  </si>
  <si>
    <t>Kasa Kasa</t>
  </si>
  <si>
    <t>Kashmiri Chilli       Powder</t>
  </si>
  <si>
    <t>Pattai                            (Cinnamon)</t>
  </si>
  <si>
    <t>Kirambu                              (Cloves)</t>
  </si>
  <si>
    <t>Ellakai                                  (Elachi)</t>
  </si>
  <si>
    <t>Sombu                                 (Fennel)</t>
  </si>
  <si>
    <t>Seeragam       (Jeera/ Cumin Seeds)</t>
  </si>
  <si>
    <t>Raw Malli                       (Coriander)</t>
  </si>
  <si>
    <t>Vendhayam        (Fenugreek Seeds)</t>
  </si>
  <si>
    <t>Kadugu                    (Mustard Seed)</t>
  </si>
  <si>
    <t>Red Chilli         - Round</t>
  </si>
  <si>
    <t>Red Chilli         - Long</t>
  </si>
  <si>
    <t>Karuppu   Sundal</t>
  </si>
  <si>
    <t>Chenna</t>
  </si>
  <si>
    <t>Sundai  Vathal</t>
  </si>
  <si>
    <t>Tea      Powder</t>
  </si>
  <si>
    <t>Vathal</t>
  </si>
  <si>
    <t>Wheat     Atta</t>
  </si>
  <si>
    <t>Corn Floor</t>
  </si>
  <si>
    <t>Rice  Floor</t>
  </si>
  <si>
    <t>Kelanghu Maavu</t>
  </si>
  <si>
    <t xml:space="preserve">Soya  </t>
  </si>
  <si>
    <t>Noodle</t>
  </si>
  <si>
    <t>Pachai         Rice</t>
  </si>
  <si>
    <t>Raw               Rice</t>
  </si>
  <si>
    <t>Pulli                                 (Tamarind)</t>
  </si>
  <si>
    <t>ID NO</t>
  </si>
  <si>
    <t>NRC 01</t>
  </si>
  <si>
    <t>NRC 02</t>
  </si>
  <si>
    <t>NRC 03</t>
  </si>
  <si>
    <t>NRC 05</t>
  </si>
  <si>
    <t>NRC 06</t>
  </si>
  <si>
    <t>NRC 07</t>
  </si>
  <si>
    <t>NRC 08</t>
  </si>
  <si>
    <t>NRC 09</t>
  </si>
  <si>
    <t>NRC 10</t>
  </si>
  <si>
    <t>NRC 11</t>
  </si>
  <si>
    <t>NRC 12</t>
  </si>
  <si>
    <t>NRC 13</t>
  </si>
  <si>
    <t>NRC 14</t>
  </si>
  <si>
    <t>NRC 15</t>
  </si>
  <si>
    <t>NRC 16</t>
  </si>
  <si>
    <t>NRC 17</t>
  </si>
  <si>
    <t>NRC 18</t>
  </si>
  <si>
    <t>NRC 19</t>
  </si>
  <si>
    <t>NRC 20</t>
  </si>
  <si>
    <t>NRC 21</t>
  </si>
  <si>
    <t>NRC 22</t>
  </si>
  <si>
    <t>NRC 23</t>
  </si>
  <si>
    <t>NRC 24</t>
  </si>
  <si>
    <t>NRC 25</t>
  </si>
  <si>
    <t>NRC 26</t>
  </si>
  <si>
    <t>NRC 27</t>
  </si>
  <si>
    <t>NRC 28</t>
  </si>
  <si>
    <t>NRC 29</t>
  </si>
  <si>
    <t>NRC 30</t>
  </si>
  <si>
    <t>NRC 31</t>
  </si>
  <si>
    <t>NRC 32</t>
  </si>
  <si>
    <t>NRC 33</t>
  </si>
  <si>
    <t>NRC 34</t>
  </si>
  <si>
    <t>NRC 35</t>
  </si>
  <si>
    <t>NRC 36</t>
  </si>
  <si>
    <t>NRC 37</t>
  </si>
  <si>
    <t>NRC 38</t>
  </si>
  <si>
    <t>NRC 39</t>
  </si>
  <si>
    <t>NRC 40</t>
  </si>
  <si>
    <t>NRC 41</t>
  </si>
  <si>
    <t>NRC 42</t>
  </si>
  <si>
    <t>NRC 43</t>
  </si>
  <si>
    <t>NRC 44</t>
  </si>
  <si>
    <t>NRC 45</t>
  </si>
  <si>
    <t>NRC 46</t>
  </si>
  <si>
    <t>NRC 47</t>
  </si>
  <si>
    <t>NRC 48</t>
  </si>
  <si>
    <t>NRC 49</t>
  </si>
  <si>
    <t>NRC 50</t>
  </si>
  <si>
    <t>NRC 51</t>
  </si>
  <si>
    <t>NRC 52</t>
  </si>
  <si>
    <t>NRC 53</t>
  </si>
  <si>
    <t>NRC 54</t>
  </si>
  <si>
    <t>NRC 55</t>
  </si>
  <si>
    <t>NRC 56</t>
  </si>
  <si>
    <t>NRC 57</t>
  </si>
  <si>
    <t>NRC 58</t>
  </si>
  <si>
    <t>NRC 59</t>
  </si>
  <si>
    <t>NRC 60</t>
  </si>
  <si>
    <t>NRC 61</t>
  </si>
  <si>
    <t>NRC 62</t>
  </si>
  <si>
    <t>NRC 63</t>
  </si>
  <si>
    <t>NRC 64</t>
  </si>
  <si>
    <t>NRC 65</t>
  </si>
  <si>
    <t>NRC 66</t>
  </si>
  <si>
    <t>NRC 67</t>
  </si>
  <si>
    <t>NRC 68</t>
  </si>
  <si>
    <t>NRC 69</t>
  </si>
  <si>
    <t>NRC 70</t>
  </si>
  <si>
    <t>NRC 71</t>
  </si>
  <si>
    <t>NRC 72</t>
  </si>
  <si>
    <t>NRC 73</t>
  </si>
  <si>
    <t>NRC 74</t>
  </si>
  <si>
    <t>NRC 75</t>
  </si>
  <si>
    <t>NRC 76</t>
  </si>
  <si>
    <t>NRC 77</t>
  </si>
  <si>
    <t>NRC 78</t>
  </si>
  <si>
    <t>NRC 79</t>
  </si>
  <si>
    <t>NRC 80</t>
  </si>
  <si>
    <t>NRC 81</t>
  </si>
  <si>
    <t>NRC 82</t>
  </si>
  <si>
    <t>NRC 83</t>
  </si>
  <si>
    <t>NRC 84</t>
  </si>
  <si>
    <t>NRC 85</t>
  </si>
  <si>
    <t>Total Stock</t>
  </si>
  <si>
    <t>Curry  Masala     Powder</t>
  </si>
  <si>
    <t>NRC 86</t>
  </si>
  <si>
    <t>Kasthuri Methi</t>
  </si>
  <si>
    <t>Kalpasi</t>
  </si>
  <si>
    <t>NRC 87</t>
  </si>
  <si>
    <t>Maida</t>
  </si>
  <si>
    <t>Javvu Aruse</t>
  </si>
  <si>
    <t>NRC 88</t>
  </si>
  <si>
    <t>Annachi Poo</t>
  </si>
  <si>
    <t>NRC 89</t>
  </si>
  <si>
    <t>NRC 90</t>
  </si>
  <si>
    <t>Soya Bean</t>
  </si>
  <si>
    <t>Basmathi Rice</t>
  </si>
  <si>
    <t>Varutha    Kadalai</t>
  </si>
  <si>
    <t>NRC 91</t>
  </si>
  <si>
    <t>Pottu Kadalai</t>
  </si>
  <si>
    <t>NRC 92</t>
  </si>
  <si>
    <t>Thalippu      Ullundhu</t>
  </si>
  <si>
    <t>Samaba      Rava</t>
  </si>
  <si>
    <t>Inventory purchased</t>
  </si>
  <si>
    <t>Kadalai Floor</t>
  </si>
  <si>
    <t>Dry Grapes</t>
  </si>
  <si>
    <t>Total Inventry</t>
  </si>
  <si>
    <t>Net Stock2</t>
  </si>
  <si>
    <t>Inventry Consumed</t>
  </si>
  <si>
    <t>Main Stock</t>
  </si>
  <si>
    <t>Chicken Stock</t>
  </si>
  <si>
    <t>Payasa Ravai Wheet</t>
  </si>
  <si>
    <t>Appalam</t>
  </si>
  <si>
    <t>Kollu</t>
  </si>
  <si>
    <t>Pickle (mango Thokku)</t>
  </si>
  <si>
    <t>Pickle (Mango )</t>
  </si>
  <si>
    <t>Pickle (Narthangai)</t>
  </si>
  <si>
    <t>NRC 93</t>
  </si>
  <si>
    <t>NRC 94</t>
  </si>
  <si>
    <t>NRC 95</t>
  </si>
  <si>
    <t>Price</t>
  </si>
  <si>
    <t>Oil</t>
  </si>
  <si>
    <t xml:space="preserve">Total </t>
  </si>
  <si>
    <t>Per gram</t>
  </si>
  <si>
    <t>Rasam</t>
  </si>
  <si>
    <t>25 Person</t>
  </si>
  <si>
    <t>Tomato</t>
  </si>
  <si>
    <t xml:space="preserve">Green Chilly </t>
  </si>
  <si>
    <t>Karuvapilai</t>
  </si>
  <si>
    <t>Kadugu</t>
  </si>
  <si>
    <t>Vendhayam</t>
  </si>
  <si>
    <t>Jeera</t>
  </si>
  <si>
    <t>Pepper</t>
  </si>
  <si>
    <t>Red Chilly</t>
  </si>
  <si>
    <t>Puli</t>
  </si>
  <si>
    <t xml:space="preserve">L.G </t>
  </si>
  <si>
    <t>Malli leafs</t>
  </si>
  <si>
    <t>Chilly Powder</t>
  </si>
  <si>
    <t>Coconut Oil</t>
  </si>
  <si>
    <t>Malli Powder</t>
  </si>
  <si>
    <t>curry leaf</t>
  </si>
  <si>
    <t>malli</t>
  </si>
  <si>
    <t>Lunch Sambar</t>
  </si>
  <si>
    <t>Small Onion</t>
  </si>
  <si>
    <t>Big Onion</t>
  </si>
  <si>
    <t>Green Chilly</t>
  </si>
  <si>
    <t>Curry Leaf</t>
  </si>
  <si>
    <t>Drum Stick</t>
  </si>
  <si>
    <t>Orid Dhal</t>
  </si>
  <si>
    <t>L.G    Powder</t>
  </si>
  <si>
    <t>Sambar Powder</t>
  </si>
  <si>
    <t>Thuvaram Parupu</t>
  </si>
  <si>
    <t>Malli Leaf</t>
  </si>
  <si>
    <t>Pasi Parrupu</t>
  </si>
  <si>
    <t>OIL</t>
  </si>
  <si>
    <t>KADUGU</t>
  </si>
  <si>
    <t>JEERA</t>
  </si>
  <si>
    <t>URID DHAL</t>
  </si>
  <si>
    <t>KADALAI PARUPPU</t>
  </si>
  <si>
    <t>ONION</t>
  </si>
  <si>
    <t>TOMATO</t>
  </si>
  <si>
    <t>GREEN CHILLY</t>
  </si>
  <si>
    <t>GARLIC</t>
  </si>
  <si>
    <t>CURRY LEAVES</t>
  </si>
  <si>
    <t>PAASI PARUPPU</t>
  </si>
  <si>
    <t>TURMERIC</t>
  </si>
  <si>
    <t>RED CHILLY</t>
  </si>
  <si>
    <t>GHEE</t>
  </si>
  <si>
    <t>SALT</t>
  </si>
  <si>
    <t>MALLI LEAVES</t>
  </si>
  <si>
    <t>PULI KUZHAMBU</t>
  </si>
  <si>
    <t>SMALL ONION</t>
  </si>
  <si>
    <t>BIG ONION</t>
  </si>
  <si>
    <t>GREE CHILLY</t>
  </si>
  <si>
    <t>BRINJAL</t>
  </si>
  <si>
    <t>PULI</t>
  </si>
  <si>
    <t>GINGILLY OIL</t>
  </si>
  <si>
    <t>VANDHAYAM</t>
  </si>
  <si>
    <t>PEPPER</t>
  </si>
  <si>
    <t>COCONUT (GRINDED)</t>
  </si>
  <si>
    <t>VELLAM</t>
  </si>
  <si>
    <t>MALLI LEAF</t>
  </si>
  <si>
    <t>ANI SEEDS</t>
  </si>
  <si>
    <t>CASHEW  NUTS</t>
  </si>
  <si>
    <t>MOOR KUZHABU</t>
  </si>
  <si>
    <t>COCONUT OIL</t>
  </si>
  <si>
    <t>CASHEW NUT</t>
  </si>
  <si>
    <t>CURD</t>
  </si>
  <si>
    <t>TURMERIC POWDER</t>
  </si>
  <si>
    <t>L.G    POWDER</t>
  </si>
  <si>
    <t>VELLAI PUSANNI</t>
  </si>
  <si>
    <t>CHILLY POWDER</t>
  </si>
  <si>
    <t>MALLI POWDER</t>
  </si>
  <si>
    <t>ELACHI</t>
  </si>
  <si>
    <t>G.G.PASTE</t>
  </si>
  <si>
    <t>CHICKEN Or MUTTON MASALA</t>
  </si>
  <si>
    <t>MINT LEAVES</t>
  </si>
  <si>
    <t>CUTLET</t>
  </si>
  <si>
    <t>PORIYAL</t>
  </si>
  <si>
    <t>COCONUT GRINDED</t>
  </si>
  <si>
    <t>L.G POWDER</t>
  </si>
  <si>
    <t>VEGETABLES</t>
  </si>
  <si>
    <t>KOOTU</t>
  </si>
  <si>
    <t>ORID DHAL</t>
  </si>
  <si>
    <t>PASI PARUPPU</t>
  </si>
  <si>
    <t>KARA CURRY</t>
  </si>
  <si>
    <t>PEANUT</t>
  </si>
  <si>
    <t>G.G PASTE</t>
  </si>
  <si>
    <t>CHICKEN AND MUTTON MASALA</t>
  </si>
  <si>
    <t>MALI LEAVES</t>
  </si>
  <si>
    <t>PARUPPU VADAI</t>
  </si>
  <si>
    <t>VADAI PARUPPU</t>
  </si>
  <si>
    <t>RICE FLOOR</t>
  </si>
  <si>
    <t>KEERAI</t>
  </si>
  <si>
    <t>GINGER</t>
  </si>
  <si>
    <t>PAYASAM</t>
  </si>
  <si>
    <t>PARUPPU</t>
  </si>
  <si>
    <t>MILK</t>
  </si>
  <si>
    <t>TIFFEN SAMBAR</t>
  </si>
  <si>
    <t>SAMBAR POWDER</t>
  </si>
  <si>
    <t>THUVARAM PARUPPU</t>
  </si>
  <si>
    <t>25 Person r 3 LTR</t>
  </si>
  <si>
    <t>UPMA</t>
  </si>
  <si>
    <t>SAMBA RAVA</t>
  </si>
  <si>
    <t>PONGAL</t>
  </si>
  <si>
    <t>CASHEW NUTS</t>
  </si>
  <si>
    <t>RICE</t>
  </si>
  <si>
    <t>RAVA KICHADI</t>
  </si>
  <si>
    <t>WHITE RAVA</t>
  </si>
  <si>
    <t>KADALA PARUPPU</t>
  </si>
  <si>
    <t>SUGAR</t>
  </si>
  <si>
    <t>POORI MASALA</t>
  </si>
  <si>
    <t>POTATO</t>
  </si>
  <si>
    <t xml:space="preserve">POORI </t>
  </si>
  <si>
    <t>WHEAT FLOOR</t>
  </si>
  <si>
    <t>ULLUNDHU VADAI</t>
  </si>
  <si>
    <t>80 Person</t>
  </si>
  <si>
    <t>RICE FLOUR</t>
  </si>
  <si>
    <t>CURD RICE</t>
  </si>
  <si>
    <t xml:space="preserve">RICE  </t>
  </si>
  <si>
    <t>20 PLATES</t>
  </si>
  <si>
    <t>VEG BIRYANI</t>
  </si>
  <si>
    <t>PATTAI</t>
  </si>
  <si>
    <t>CLOVES</t>
  </si>
  <si>
    <t>KALPASI</t>
  </si>
  <si>
    <t>LEMON</t>
  </si>
  <si>
    <t>BIRYANI RICE</t>
  </si>
  <si>
    <t>20 PLATE</t>
  </si>
  <si>
    <t>CHICKEN OR MUTTON BIRYANI</t>
  </si>
  <si>
    <t>MALLI   POWDER</t>
  </si>
  <si>
    <t>MUTTON OR CHICKEN MASALA</t>
  </si>
  <si>
    <t>GHEE RICE</t>
  </si>
  <si>
    <t>KADALAI CURRY</t>
  </si>
  <si>
    <t>50 CHAPATHI</t>
  </si>
  <si>
    <t>MALLI RAW</t>
  </si>
  <si>
    <t>KASA KASA</t>
  </si>
  <si>
    <t>COCONUT (GRAINDED)</t>
  </si>
  <si>
    <t>CHICKEN OR MUTTON KULAMBHU</t>
  </si>
  <si>
    <t>25 PERSON</t>
  </si>
  <si>
    <t>CURRY MASALA</t>
  </si>
  <si>
    <t>PANNER BUTTER MASALA</t>
  </si>
  <si>
    <t>KASHMIRI CHILLY POWDER</t>
  </si>
  <si>
    <t>KAUSTHURI METHI</t>
  </si>
  <si>
    <t>TOMATO SAUCE</t>
  </si>
  <si>
    <t>BUTTER</t>
  </si>
  <si>
    <t>GARAM MASALA</t>
  </si>
  <si>
    <t xml:space="preserve">PANNER  </t>
  </si>
  <si>
    <t>CAPSICUM</t>
  </si>
  <si>
    <t>KARA CHATNI</t>
  </si>
  <si>
    <t>25 PERSONS</t>
  </si>
  <si>
    <t>KASDALAI PARUPPU</t>
  </si>
  <si>
    <t>TERMERIC POWDER</t>
  </si>
  <si>
    <t>TOMATO CHATNI</t>
  </si>
  <si>
    <t>GINGELLY OIL</t>
  </si>
  <si>
    <t>COCONUT CHATNI</t>
  </si>
  <si>
    <t>POTTU KADALAI</t>
  </si>
  <si>
    <t>TEA</t>
  </si>
  <si>
    <t>COFFEE</t>
  </si>
  <si>
    <t>SUKKU PAL</t>
  </si>
  <si>
    <t>TEA POWDER</t>
  </si>
  <si>
    <t>COFFEE POWDER</t>
  </si>
  <si>
    <t>SUKKU POWDER</t>
  </si>
</sst>
</file>

<file path=xl/styles.xml><?xml version="1.0" encoding="utf-8"?>
<styleSheet xmlns="http://schemas.openxmlformats.org/spreadsheetml/2006/main">
  <numFmts count="3">
    <numFmt numFmtId="164" formatCode="&quot;$&quot;#,##0.00"/>
    <numFmt numFmtId="165" formatCode="0;[Red]0"/>
    <numFmt numFmtId="166" formatCode="0.000"/>
  </numFmts>
  <fonts count="20">
    <font>
      <sz val="11"/>
      <color theme="1"/>
      <name val="Franklin Gothic Book"/>
      <family val="2"/>
      <scheme val="minor"/>
    </font>
    <font>
      <sz val="10"/>
      <color theme="1"/>
      <name val="Franklin Gothic Book"/>
      <family val="2"/>
      <scheme val="minor"/>
    </font>
    <font>
      <sz val="10"/>
      <color theme="5"/>
      <name val="Franklin Gothic Book"/>
      <family val="2"/>
      <scheme val="minor"/>
    </font>
    <font>
      <b/>
      <sz val="11"/>
      <color theme="1"/>
      <name val="Calibri"/>
    </font>
    <font>
      <sz val="12"/>
      <color rgb="FF000000"/>
      <name val="Calibri"/>
    </font>
    <font>
      <sz val="12"/>
      <color theme="1"/>
      <name val="Calibri"/>
    </font>
    <font>
      <sz val="11"/>
      <color theme="1"/>
      <name val="Calibri"/>
    </font>
    <font>
      <sz val="12"/>
      <color rgb="FF222222"/>
      <name val="Calibri"/>
    </font>
    <font>
      <sz val="10"/>
      <color theme="1"/>
      <name val="Franklin Gothic Book"/>
      <scheme val="minor"/>
    </font>
    <font>
      <sz val="11"/>
      <color theme="1"/>
      <name val="Calibri"/>
      <family val="2"/>
    </font>
    <font>
      <sz val="11"/>
      <color rgb="FF000000"/>
      <name val="Calibri"/>
      <family val="2"/>
    </font>
    <font>
      <sz val="11"/>
      <color theme="1"/>
      <name val="Franklin Gothic Book"/>
      <scheme val="minor"/>
    </font>
    <font>
      <sz val="10"/>
      <color rgb="FFFF0000"/>
      <name val="Franklin Gothic Book"/>
      <scheme val="minor"/>
    </font>
    <font>
      <b/>
      <sz val="11"/>
      <color theme="1"/>
      <name val="Calibri"/>
      <family val="2"/>
    </font>
    <font>
      <b/>
      <sz val="10"/>
      <color theme="1"/>
      <name val="Franklin Gothic Book"/>
      <scheme val="minor"/>
    </font>
    <font>
      <b/>
      <sz val="10"/>
      <color theme="1"/>
      <name val="Franklin Gothic Book"/>
      <family val="2"/>
      <scheme val="minor"/>
    </font>
    <font>
      <sz val="11"/>
      <name val="Calibri"/>
      <family val="2"/>
    </font>
    <font>
      <b/>
      <sz val="11"/>
      <name val="Calibri"/>
      <family val="2"/>
    </font>
    <font>
      <b/>
      <sz val="10"/>
      <name val="Franklin Gothic Book"/>
      <scheme val="minor"/>
    </font>
    <font>
      <b/>
      <sz val="11"/>
      <color theme="1"/>
      <name val="Franklin Gothic Book"/>
      <family val="2"/>
      <scheme val="minor"/>
    </font>
  </fonts>
  <fills count="9">
    <fill>
      <patternFill patternType="none"/>
    </fill>
    <fill>
      <patternFill patternType="gray125"/>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theme="7"/>
        <bgColor rgb="FFFFFFFF"/>
      </patternFill>
    </fill>
    <fill>
      <patternFill patternType="solid">
        <fgColor theme="0" tint="-4.9989318521683403E-2"/>
        <bgColor indexed="64"/>
      </patternFill>
    </fill>
    <fill>
      <patternFill patternType="solid">
        <fgColor theme="0"/>
        <bgColor rgb="FFFFFFFF"/>
      </patternFill>
    </fill>
    <fill>
      <patternFill patternType="solid">
        <fgColor theme="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s>
  <cellStyleXfs count="1">
    <xf numFmtId="0" fontId="0" fillId="0" borderId="0"/>
  </cellStyleXfs>
  <cellXfs count="143">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0" fontId="1" fillId="0" borderId="0" xfId="0" applyFont="1" applyAlignment="1">
      <alignment horizontal="right" vertical="center" indent="1"/>
    </xf>
    <xf numFmtId="0" fontId="1" fillId="0" borderId="0" xfId="0" applyFont="1" applyAlignment="1">
      <alignment horizontal="left" vertical="center"/>
    </xf>
    <xf numFmtId="0" fontId="1" fillId="0" borderId="0" xfId="0" applyFont="1" applyAlignment="1">
      <alignment horizontal="right" vertical="center"/>
    </xf>
    <xf numFmtId="0" fontId="2" fillId="0" borderId="0" xfId="0" applyFont="1" applyAlignment="1">
      <alignment horizontal="right" vertical="center"/>
    </xf>
    <xf numFmtId="0" fontId="3" fillId="2" borderId="1" xfId="0" applyFont="1" applyFill="1" applyBorder="1"/>
    <xf numFmtId="165" fontId="3" fillId="2" borderId="1" xfId="0" applyNumberFormat="1" applyFont="1" applyFill="1" applyBorder="1"/>
    <xf numFmtId="0" fontId="0" fillId="0" borderId="0" xfId="0" applyFont="1" applyAlignment="1"/>
    <xf numFmtId="0" fontId="4" fillId="3" borderId="1" xfId="0" applyFont="1" applyFill="1" applyBorder="1" applyAlignment="1">
      <alignment wrapText="1"/>
    </xf>
    <xf numFmtId="0" fontId="5" fillId="0" borderId="1" xfId="0" applyFont="1" applyBorder="1"/>
    <xf numFmtId="0" fontId="6" fillId="0" borderId="1" xfId="0" applyFont="1" applyBorder="1"/>
    <xf numFmtId="165" fontId="4" fillId="0" borderId="1" xfId="0" applyNumberFormat="1" applyFont="1" applyBorder="1" applyAlignment="1">
      <alignment wrapText="1"/>
    </xf>
    <xf numFmtId="0" fontId="4" fillId="0" borderId="1" xfId="0" applyFont="1" applyBorder="1"/>
    <xf numFmtId="165" fontId="6" fillId="0" borderId="1" xfId="0" applyNumberFormat="1" applyFont="1" applyBorder="1"/>
    <xf numFmtId="165" fontId="4" fillId="0" borderId="1" xfId="0" applyNumberFormat="1" applyFont="1" applyBorder="1"/>
    <xf numFmtId="0" fontId="5" fillId="0" borderId="1" xfId="0" applyFont="1" applyBorder="1" applyAlignment="1">
      <alignment wrapText="1"/>
    </xf>
    <xf numFmtId="0" fontId="4" fillId="0" borderId="1" xfId="0" applyFont="1" applyBorder="1" applyAlignment="1">
      <alignment wrapText="1"/>
    </xf>
    <xf numFmtId="165" fontId="7" fillId="0" borderId="1" xfId="0" applyNumberFormat="1" applyFont="1" applyBorder="1" applyAlignment="1">
      <alignment wrapText="1"/>
    </xf>
    <xf numFmtId="165" fontId="4" fillId="4" borderId="1" xfId="0" applyNumberFormat="1" applyFont="1" applyFill="1" applyBorder="1" applyAlignment="1">
      <alignment wrapText="1"/>
    </xf>
    <xf numFmtId="0" fontId="6" fillId="0" borderId="0" xfId="0" applyFont="1"/>
    <xf numFmtId="0" fontId="0" fillId="0" borderId="0" xfId="0" applyFont="1" applyBorder="1" applyAlignment="1"/>
    <xf numFmtId="0" fontId="6" fillId="0" borderId="2" xfId="0" applyFont="1" applyBorder="1"/>
    <xf numFmtId="0" fontId="0" fillId="0" borderId="2" xfId="0" applyFont="1" applyBorder="1" applyAlignment="1"/>
    <xf numFmtId="0" fontId="8" fillId="0" borderId="2" xfId="0" applyFont="1" applyBorder="1" applyAlignment="1">
      <alignment vertical="center"/>
    </xf>
    <xf numFmtId="0" fontId="9" fillId="0" borderId="2" xfId="0" applyFont="1" applyBorder="1" applyAlignment="1">
      <alignment horizontal="left"/>
    </xf>
    <xf numFmtId="0" fontId="10" fillId="3" borderId="2" xfId="0" applyFont="1" applyFill="1" applyBorder="1" applyAlignment="1">
      <alignment horizontal="left" wrapText="1"/>
    </xf>
    <xf numFmtId="3" fontId="9" fillId="0" borderId="2" xfId="0" applyNumberFormat="1" applyFont="1" applyBorder="1" applyAlignment="1">
      <alignment horizontal="right" vertical="center" indent="1"/>
    </xf>
    <xf numFmtId="166" fontId="9" fillId="0" borderId="2" xfId="0" applyNumberFormat="1" applyFont="1" applyBorder="1" applyAlignment="1">
      <alignment horizontal="right" vertical="center" indent="1"/>
    </xf>
    <xf numFmtId="2" fontId="9" fillId="0" borderId="2" xfId="0" applyNumberFormat="1" applyFont="1" applyBorder="1" applyAlignment="1">
      <alignment horizontal="right" vertical="center" indent="1"/>
    </xf>
    <xf numFmtId="0" fontId="10" fillId="5" borderId="2" xfId="0" applyFont="1" applyFill="1" applyBorder="1" applyAlignment="1">
      <alignment horizontal="left" wrapText="1"/>
    </xf>
    <xf numFmtId="0" fontId="10" fillId="0" borderId="2" xfId="0" applyFont="1" applyBorder="1" applyAlignment="1">
      <alignment horizontal="left"/>
    </xf>
    <xf numFmtId="0" fontId="9" fillId="0" borderId="2" xfId="0" applyFont="1" applyBorder="1" applyAlignment="1">
      <alignment horizontal="left" wrapText="1"/>
    </xf>
    <xf numFmtId="0" fontId="10" fillId="0" borderId="2" xfId="0" applyFont="1" applyBorder="1" applyAlignment="1">
      <alignment horizontal="left" wrapText="1"/>
    </xf>
    <xf numFmtId="0" fontId="9" fillId="0" borderId="2" xfId="0" applyFont="1" applyBorder="1" applyAlignment="1">
      <alignment vertical="center"/>
    </xf>
    <xf numFmtId="3" fontId="8" fillId="0" borderId="2" xfId="0" applyNumberFormat="1" applyFont="1" applyBorder="1" applyAlignment="1">
      <alignment horizontal="right" vertical="center" indent="1"/>
    </xf>
    <xf numFmtId="166" fontId="8" fillId="0" borderId="2" xfId="0" applyNumberFormat="1" applyFont="1" applyBorder="1" applyAlignment="1">
      <alignment horizontal="right" vertical="center" indent="1"/>
    </xf>
    <xf numFmtId="2" fontId="8" fillId="0" borderId="2" xfId="0" applyNumberFormat="1" applyFont="1" applyBorder="1" applyAlignment="1">
      <alignment horizontal="right" vertical="center" indent="1"/>
    </xf>
    <xf numFmtId="3" fontId="10" fillId="5" borderId="2" xfId="0" applyNumberFormat="1" applyFont="1" applyFill="1" applyBorder="1" applyAlignment="1">
      <alignment wrapText="1"/>
    </xf>
    <xf numFmtId="166" fontId="9" fillId="0" borderId="2" xfId="0" applyNumberFormat="1" applyFont="1" applyBorder="1"/>
    <xf numFmtId="0" fontId="9" fillId="0" borderId="2" xfId="0" applyFont="1" applyBorder="1" applyAlignment="1">
      <alignment horizontal="left" vertical="center" indent="1"/>
    </xf>
    <xf numFmtId="0" fontId="9" fillId="0" borderId="2" xfId="0" applyFont="1" applyBorder="1" applyAlignment="1">
      <alignment horizontal="left" vertical="center"/>
    </xf>
    <xf numFmtId="0" fontId="8" fillId="0" borderId="2" xfId="0" applyFont="1" applyBorder="1" applyAlignment="1">
      <alignment horizontal="left" vertical="center" indent="1"/>
    </xf>
    <xf numFmtId="0" fontId="8" fillId="0" borderId="2" xfId="0" applyNumberFormat="1" applyFont="1" applyBorder="1" applyAlignment="1">
      <alignment horizontal="right" vertical="center" inden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164" fontId="0" fillId="0" borderId="4" xfId="0" applyNumberFormat="1" applyFont="1" applyFill="1" applyBorder="1" applyAlignment="1">
      <alignment horizontal="center" vertical="center" wrapText="1"/>
    </xf>
    <xf numFmtId="0" fontId="11" fillId="0" borderId="4" xfId="0" applyFont="1" applyFill="1" applyBorder="1" applyAlignment="1">
      <alignment horizontal="center" vertical="center" wrapText="1"/>
    </xf>
    <xf numFmtId="0" fontId="1" fillId="0" borderId="5" xfId="0" applyFont="1" applyBorder="1" applyAlignment="1">
      <alignment horizontal="center" vertical="center"/>
    </xf>
    <xf numFmtId="0" fontId="8" fillId="0" borderId="5" xfId="0" applyFont="1" applyBorder="1" applyAlignment="1">
      <alignment horizontal="center" vertical="center"/>
    </xf>
    <xf numFmtId="0" fontId="1" fillId="0" borderId="7" xfId="0" applyFont="1" applyBorder="1" applyAlignment="1">
      <alignment horizontal="center" vertical="center"/>
    </xf>
    <xf numFmtId="0" fontId="9" fillId="0" borderId="8" xfId="0" applyFont="1" applyBorder="1" applyAlignment="1">
      <alignment horizontal="left"/>
    </xf>
    <xf numFmtId="0" fontId="1" fillId="0" borderId="8" xfId="0" applyFont="1" applyBorder="1" applyAlignment="1">
      <alignment horizontal="left" vertical="center" indent="1"/>
    </xf>
    <xf numFmtId="3" fontId="1" fillId="0" borderId="8" xfId="0" applyNumberFormat="1" applyFont="1" applyBorder="1" applyAlignment="1">
      <alignment horizontal="right" vertical="center" indent="1"/>
    </xf>
    <xf numFmtId="166" fontId="1" fillId="0" borderId="8" xfId="0" applyNumberFormat="1" applyFont="1" applyBorder="1" applyAlignment="1">
      <alignment horizontal="right" vertical="center" indent="1"/>
    </xf>
    <xf numFmtId="0" fontId="1" fillId="0" borderId="8" xfId="0" applyFont="1" applyBorder="1" applyAlignment="1">
      <alignment horizontal="right" vertical="center" indent="1"/>
    </xf>
    <xf numFmtId="2" fontId="1" fillId="0" borderId="8" xfId="0" applyNumberFormat="1" applyFont="1" applyBorder="1" applyAlignment="1">
      <alignment horizontal="right" vertical="center" indent="1"/>
    </xf>
    <xf numFmtId="0" fontId="11" fillId="0" borderId="10" xfId="0" applyFont="1" applyFill="1" applyBorder="1" applyAlignment="1">
      <alignment horizontal="center" vertical="center" wrapText="1"/>
    </xf>
    <xf numFmtId="0" fontId="12" fillId="0" borderId="5" xfId="0" applyFont="1" applyBorder="1" applyAlignment="1">
      <alignment horizontal="center" vertical="center"/>
    </xf>
    <xf numFmtId="0" fontId="13" fillId="0" borderId="2" xfId="0" applyFont="1" applyBorder="1" applyAlignment="1">
      <alignment horizontal="center" vertical="center"/>
    </xf>
    <xf numFmtId="0" fontId="14" fillId="0" borderId="2" xfId="0" applyFont="1" applyBorder="1" applyAlignment="1">
      <alignment horizontal="center" vertical="center"/>
    </xf>
    <xf numFmtId="0" fontId="14" fillId="0" borderId="6" xfId="0" applyFont="1" applyBorder="1" applyAlignment="1">
      <alignment horizontal="center" vertical="center"/>
    </xf>
    <xf numFmtId="0" fontId="15" fillId="0" borderId="8"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6" fillId="0" borderId="2" xfId="0" applyFont="1" applyBorder="1" applyAlignment="1">
      <alignment horizontal="left" wrapText="1"/>
    </xf>
    <xf numFmtId="0" fontId="16" fillId="0" borderId="2" xfId="0" applyFont="1" applyBorder="1" applyAlignment="1">
      <alignment horizontal="left"/>
    </xf>
    <xf numFmtId="3" fontId="16" fillId="0" borderId="2" xfId="0" applyNumberFormat="1" applyFont="1" applyBorder="1" applyAlignment="1">
      <alignment horizontal="right" vertical="center" indent="1"/>
    </xf>
    <xf numFmtId="166" fontId="16" fillId="0" borderId="2" xfId="0" applyNumberFormat="1" applyFont="1" applyBorder="1" applyAlignment="1">
      <alignment horizontal="right" vertical="center" indent="1"/>
    </xf>
    <xf numFmtId="2" fontId="16" fillId="0" borderId="2" xfId="0" applyNumberFormat="1" applyFont="1" applyBorder="1" applyAlignment="1">
      <alignment horizontal="right" vertical="center" indent="1"/>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18" fillId="0" borderId="6" xfId="0" applyFont="1" applyBorder="1" applyAlignment="1">
      <alignment horizontal="center" vertical="center"/>
    </xf>
    <xf numFmtId="0" fontId="8" fillId="0" borderId="11" xfId="0" applyFont="1" applyBorder="1" applyAlignment="1">
      <alignment horizontal="center" vertical="center"/>
    </xf>
    <xf numFmtId="2" fontId="8" fillId="0" borderId="12" xfId="0" applyNumberFormat="1" applyFont="1" applyBorder="1" applyAlignment="1">
      <alignment horizontal="right" vertical="center" indent="1"/>
    </xf>
    <xf numFmtId="0" fontId="14" fillId="0" borderId="12" xfId="0" applyNumberFormat="1" applyFont="1" applyBorder="1" applyAlignment="1">
      <alignment horizontal="center" vertical="center"/>
    </xf>
    <xf numFmtId="0" fontId="14" fillId="0" borderId="13" xfId="0" applyFont="1" applyBorder="1" applyAlignment="1">
      <alignment horizontal="center" vertical="center"/>
    </xf>
    <xf numFmtId="0" fontId="14" fillId="0" borderId="6" xfId="0" applyNumberFormat="1" applyFont="1" applyBorder="1" applyAlignment="1">
      <alignment horizontal="center" vertical="center"/>
    </xf>
    <xf numFmtId="0" fontId="9" fillId="6" borderId="2" xfId="0" applyFont="1" applyFill="1" applyBorder="1" applyAlignment="1">
      <alignment horizontal="left"/>
    </xf>
    <xf numFmtId="0" fontId="10" fillId="6" borderId="2" xfId="0" applyFont="1" applyFill="1" applyBorder="1" applyAlignment="1">
      <alignment horizontal="left"/>
    </xf>
    <xf numFmtId="0" fontId="9" fillId="6" borderId="2" xfId="0" applyFont="1" applyFill="1" applyBorder="1" applyAlignment="1">
      <alignment horizontal="left" wrapText="1"/>
    </xf>
    <xf numFmtId="0" fontId="10" fillId="6" borderId="2" xfId="0" applyFont="1" applyFill="1" applyBorder="1" applyAlignment="1">
      <alignment horizontal="left" wrapText="1"/>
    </xf>
    <xf numFmtId="0" fontId="1" fillId="6" borderId="2" xfId="0" applyFont="1" applyFill="1" applyBorder="1" applyAlignment="1">
      <alignment vertical="center"/>
    </xf>
    <xf numFmtId="0" fontId="9" fillId="6" borderId="2" xfId="0" applyFont="1" applyFill="1" applyBorder="1" applyAlignment="1">
      <alignment vertical="center"/>
    </xf>
    <xf numFmtId="0" fontId="1" fillId="6" borderId="2" xfId="0" applyFont="1" applyFill="1" applyBorder="1" applyAlignment="1">
      <alignment horizontal="left" vertical="center" indent="1"/>
    </xf>
    <xf numFmtId="0" fontId="9" fillId="6" borderId="2" xfId="0" applyFont="1" applyFill="1" applyBorder="1" applyAlignment="1">
      <alignment horizontal="left" vertical="center"/>
    </xf>
    <xf numFmtId="0" fontId="0" fillId="0" borderId="2" xfId="0" applyFont="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horizontal="center" wrapText="1"/>
    </xf>
    <xf numFmtId="0" fontId="19" fillId="0" borderId="2" xfId="0" applyFont="1" applyBorder="1"/>
    <xf numFmtId="0" fontId="0" fillId="0" borderId="2" xfId="0" applyBorder="1"/>
    <xf numFmtId="0" fontId="19" fillId="0" borderId="2" xfId="0" applyFont="1" applyFill="1" applyBorder="1"/>
    <xf numFmtId="0" fontId="6" fillId="0" borderId="14" xfId="0" applyFont="1" applyFill="1" applyBorder="1" applyAlignment="1"/>
    <xf numFmtId="0" fontId="0" fillId="0" borderId="4" xfId="0" applyBorder="1"/>
    <xf numFmtId="0" fontId="0" fillId="0" borderId="15" xfId="0" applyBorder="1"/>
    <xf numFmtId="0" fontId="0" fillId="0" borderId="6" xfId="0" applyBorder="1"/>
    <xf numFmtId="0" fontId="19" fillId="0" borderId="5" xfId="0" applyFont="1" applyFill="1" applyBorder="1"/>
    <xf numFmtId="0" fontId="19" fillId="0" borderId="7" xfId="0" applyFont="1" applyFill="1" applyBorder="1"/>
    <xf numFmtId="0" fontId="0" fillId="0" borderId="8" xfId="0" applyBorder="1"/>
    <xf numFmtId="0" fontId="0" fillId="0" borderId="9" xfId="0" applyBorder="1"/>
    <xf numFmtId="0" fontId="19" fillId="0" borderId="0" xfId="0" applyFont="1" applyFill="1" applyBorder="1"/>
    <xf numFmtId="0" fontId="0" fillId="0" borderId="0" xfId="0" applyBorder="1"/>
    <xf numFmtId="0" fontId="19" fillId="0" borderId="19" xfId="0" applyFont="1" applyBorder="1"/>
    <xf numFmtId="0" fontId="0" fillId="0" borderId="20" xfId="0" applyBorder="1"/>
    <xf numFmtId="0" fontId="0" fillId="0" borderId="21" xfId="0" applyBorder="1"/>
    <xf numFmtId="0" fontId="19" fillId="0" borderId="4" xfId="0" applyFont="1" applyBorder="1"/>
    <xf numFmtId="0" fontId="19" fillId="0" borderId="3" xfId="0" applyFont="1" applyBorder="1" applyAlignment="1">
      <alignment horizontal="left"/>
    </xf>
    <xf numFmtId="0" fontId="19" fillId="0" borderId="5" xfId="0" applyFont="1" applyBorder="1" applyAlignment="1">
      <alignment horizontal="left"/>
    </xf>
    <xf numFmtId="0" fontId="19" fillId="0" borderId="7" xfId="0" applyFont="1" applyFill="1" applyBorder="1" applyAlignment="1">
      <alignment horizontal="left"/>
    </xf>
    <xf numFmtId="0" fontId="19" fillId="0" borderId="2" xfId="0" applyFont="1" applyBorder="1" applyAlignment="1">
      <alignment horizontal="left"/>
    </xf>
    <xf numFmtId="0" fontId="19" fillId="0" borderId="5" xfId="0" applyFont="1" applyFill="1" applyBorder="1" applyAlignment="1">
      <alignment horizontal="left"/>
    </xf>
    <xf numFmtId="0" fontId="19" fillId="0" borderId="7" xfId="0" applyFont="1" applyBorder="1" applyAlignment="1">
      <alignment horizontal="left"/>
    </xf>
    <xf numFmtId="0" fontId="19" fillId="0" borderId="8" xfId="0" applyFont="1" applyBorder="1"/>
    <xf numFmtId="0" fontId="19" fillId="0" borderId="22" xfId="0" applyFont="1" applyBorder="1" applyAlignment="1">
      <alignment horizontal="left"/>
    </xf>
    <xf numFmtId="0" fontId="19" fillId="0" borderId="23" xfId="0" applyFont="1" applyBorder="1"/>
    <xf numFmtId="0" fontId="0" fillId="0" borderId="23" xfId="0" applyBorder="1"/>
    <xf numFmtId="0" fontId="0" fillId="0" borderId="24" xfId="0" applyBorder="1"/>
    <xf numFmtId="0" fontId="0" fillId="0" borderId="25" xfId="0" applyBorder="1"/>
    <xf numFmtId="0" fontId="3" fillId="2" borderId="1" xfId="0" applyFont="1" applyFill="1" applyBorder="1" applyAlignment="1">
      <alignment wrapText="1"/>
    </xf>
    <xf numFmtId="0" fontId="10" fillId="7" borderId="2" xfId="0" applyFont="1" applyFill="1" applyBorder="1" applyAlignment="1">
      <alignment wrapText="1"/>
    </xf>
    <xf numFmtId="0" fontId="10" fillId="8" borderId="2" xfId="0" applyFont="1" applyFill="1" applyBorder="1" applyAlignment="1"/>
    <xf numFmtId="0" fontId="9" fillId="8" borderId="2" xfId="0" applyFont="1" applyFill="1" applyBorder="1" applyAlignment="1"/>
    <xf numFmtId="0" fontId="9" fillId="8" borderId="2" xfId="0" applyFont="1" applyFill="1" applyBorder="1" applyAlignment="1">
      <alignment wrapText="1"/>
    </xf>
    <xf numFmtId="0" fontId="10" fillId="8" borderId="2" xfId="0" applyFont="1" applyFill="1" applyBorder="1" applyAlignment="1">
      <alignment wrapText="1"/>
    </xf>
    <xf numFmtId="0" fontId="9" fillId="8" borderId="2" xfId="0" applyFont="1" applyFill="1" applyBorder="1" applyAlignment="1">
      <alignment vertical="center"/>
    </xf>
    <xf numFmtId="0" fontId="1" fillId="8" borderId="2" xfId="0" applyFont="1" applyFill="1" applyBorder="1" applyAlignment="1">
      <alignment vertical="center"/>
    </xf>
    <xf numFmtId="0" fontId="16" fillId="8" borderId="2" xfId="0" applyFont="1" applyFill="1" applyBorder="1" applyAlignment="1">
      <alignment wrapText="1"/>
    </xf>
    <xf numFmtId="0" fontId="16" fillId="8" borderId="2" xfId="0" applyFont="1" applyFill="1" applyBorder="1" applyAlignment="1"/>
    <xf numFmtId="0" fontId="1" fillId="8" borderId="8" xfId="0" applyFont="1" applyFill="1" applyBorder="1" applyAlignment="1">
      <alignment vertical="center"/>
    </xf>
    <xf numFmtId="0" fontId="9" fillId="8" borderId="8" xfId="0" applyFont="1" applyFill="1" applyBorder="1" applyAlignment="1"/>
    <xf numFmtId="0" fontId="19" fillId="0" borderId="16" xfId="0" applyFont="1" applyBorder="1" applyAlignment="1">
      <alignment horizontal="center"/>
    </xf>
    <xf numFmtId="0" fontId="19" fillId="0" borderId="17" xfId="0" applyFont="1" applyBorder="1" applyAlignment="1">
      <alignment horizontal="center"/>
    </xf>
    <xf numFmtId="0" fontId="19" fillId="0" borderId="18" xfId="0" applyFont="1" applyBorder="1" applyAlignment="1">
      <alignment horizontal="center"/>
    </xf>
    <xf numFmtId="0" fontId="19" fillId="0" borderId="20"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19" fillId="0" borderId="11" xfId="0" applyFont="1" applyBorder="1" applyAlignment="1">
      <alignment horizontal="center"/>
    </xf>
  </cellXfs>
  <cellStyles count="1">
    <cellStyle name="Normal" xfId="0" builtinId="0"/>
  </cellStyles>
  <dxfs count="25">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ont>
        <b/>
        <strike val="0"/>
        <outline val="0"/>
        <shadow val="0"/>
        <u val="none"/>
        <vertAlign val="baseline"/>
        <sz val="10"/>
        <color theme="1"/>
        <name val="Franklin Gothic Book"/>
        <scheme val="minor"/>
      </font>
      <numFmt numFmtId="0" formatCode="General"/>
      <alignment horizontal="center" vertical="center" textRotation="0" wrapText="0" indent="0" relativeIndent="255" justifyLastLine="0" shrinkToFit="0" readingOrder="0"/>
    </dxf>
    <dxf>
      <font>
        <b/>
        <strike val="0"/>
        <outline val="0"/>
        <shadow val="0"/>
        <u val="none"/>
        <vertAlign val="baseline"/>
        <sz val="10"/>
        <color theme="1"/>
        <name val="Franklin Gothic Book"/>
        <scheme val="minor"/>
      </font>
      <alignment horizontal="center" vertical="center" textRotation="0" wrapText="0" indent="0" relativeIndent="255" justifyLastLine="0" shrinkToFit="0" readingOrder="0"/>
      <border diagonalUp="0" diagonalDown="0" outline="0">
        <left/>
        <right/>
        <top style="thin">
          <color indexed="64"/>
        </top>
        <bottom style="thin">
          <color indexed="64"/>
        </bottom>
      </border>
    </dxf>
    <dxf>
      <font>
        <b/>
        <strike val="0"/>
        <outline val="0"/>
        <shadow val="0"/>
        <u val="none"/>
        <vertAlign val="baseline"/>
        <sz val="10"/>
        <color theme="1"/>
        <name val="Franklin Gothic Book"/>
        <scheme val="minor"/>
      </font>
      <numFmt numFmtId="0" formatCode="General"/>
      <alignment horizontal="center" vertical="center" textRotation="0" wrapText="0" indent="0" relativeIndent="255"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theme="1"/>
        <name val="Franklin Gothic Book"/>
        <scheme val="minor"/>
      </font>
      <numFmt numFmtId="2" formatCode="0.00"/>
      <alignment horizontal="right" vertical="center" textRotation="0" wrapText="0" indent="1" relativeIndent="255"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Franklin Gothic Book"/>
        <scheme val="minor"/>
      </font>
      <numFmt numFmtId="0" formatCode="General"/>
      <alignment horizontal="righ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numFmt numFmtId="2" formatCode="0.00"/>
      <alignment horizontal="righ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scheme val="minor"/>
      </font>
      <numFmt numFmtId="2" formatCode="0.00"/>
      <alignment horizontal="righ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numFmt numFmtId="3" formatCode="#,##0"/>
      <alignment horizontal="righ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relativeIndent="255"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center" vertical="center" textRotation="0" wrapText="0" indent="0" relativeIndent="255"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general" vertical="center" textRotation="0" wrapText="0" indent="0" relativeIndent="255"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relativeIndent="255"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5" tint="0.79998168889431442"/>
        </patternFill>
      </fill>
    </dxf>
    <dxf>
      <font>
        <strike/>
        <color theme="1" tint="0.34998626667073579"/>
      </font>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tableStyleElement type="wholeTable" dxfId="24"/>
      <tableStyleElement type="headerRow"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142874</xdr:colOff>
      <xdr:row>0</xdr:row>
      <xdr:rowOff>152400</xdr:rowOff>
    </xdr:from>
    <xdr:to>
      <xdr:col>13</xdr:col>
      <xdr:colOff>352424</xdr:colOff>
      <xdr:row>1</xdr:row>
      <xdr:rowOff>2133</xdr:rowOff>
    </xdr:to>
    <xdr:pic>
      <xdr:nvPicPr>
        <xdr:cNvPr id="2" name="Picture 1" descr="Abstract banner">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xmlns="" val="0"/>
            </a:ext>
          </a:extLst>
        </a:blip>
        <a:srcRect/>
        <a:stretch/>
      </xdr:blipFill>
      <xdr:spPr>
        <a:xfrm>
          <a:off x="142874" y="152400"/>
          <a:ext cx="11972925" cy="1326108"/>
        </a:xfrm>
        <a:prstGeom prst="rect">
          <a:avLst/>
        </a:prstGeom>
      </xdr:spPr>
    </xdr:pic>
    <xdr:clientData/>
  </xdr:twoCellAnchor>
  <xdr:twoCellAnchor>
    <xdr:from>
      <xdr:col>0</xdr:col>
      <xdr:colOff>142874</xdr:colOff>
      <xdr:row>0</xdr:row>
      <xdr:rowOff>514350</xdr:rowOff>
    </xdr:from>
    <xdr:to>
      <xdr:col>4</xdr:col>
      <xdr:colOff>1114425</xdr:colOff>
      <xdr:row>1</xdr:row>
      <xdr:rowOff>0</xdr:rowOff>
    </xdr:to>
    <xdr:sp macro="" textlink="">
      <xdr:nvSpPr>
        <xdr:cNvPr id="8" name="TextBox 1" descr="Inventory List">
          <a:extLst>
            <a:ext uri="{FF2B5EF4-FFF2-40B4-BE49-F238E27FC236}">
              <a16:creationId xmlns:a16="http://schemas.microsoft.com/office/drawing/2014/main" xmlns="" id="{00000000-0008-0000-0000-000008000000}"/>
            </a:ext>
          </a:extLst>
        </xdr:cNvPr>
        <xdr:cNvSpPr txBox="1"/>
      </xdr:nvSpPr>
      <xdr:spPr>
        <a:xfrm>
          <a:off x="142874" y="514350"/>
          <a:ext cx="3905251" cy="962025"/>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800">
              <a:solidFill>
                <a:schemeClr val="accent3">
                  <a:lumMod val="20000"/>
                  <a:lumOff val="80000"/>
                </a:schemeClr>
              </a:solidFill>
              <a:latin typeface="+mj-lt"/>
            </a:rPr>
            <a:t>Inventory List</a:t>
          </a:r>
        </a:p>
        <a:p>
          <a:pPr marL="0" algn="l"/>
          <a:r>
            <a:rPr lang="en-US" sz="1800">
              <a:solidFill>
                <a:schemeClr val="tx2">
                  <a:lumMod val="40000"/>
                  <a:lumOff val="60000"/>
                </a:schemeClr>
              </a:solidFill>
              <a:latin typeface="+mj-lt"/>
            </a:rPr>
            <a:t>NALA'SS</a:t>
          </a:r>
          <a:r>
            <a:rPr lang="en-US" sz="1800" baseline="0">
              <a:solidFill>
                <a:schemeClr val="tx2">
                  <a:lumMod val="40000"/>
                  <a:lumOff val="60000"/>
                </a:schemeClr>
              </a:solidFill>
              <a:latin typeface="+mj-lt"/>
            </a:rPr>
            <a:t> INN RUCHEE CATERING</a:t>
          </a:r>
          <a:endParaRPr lang="en-US" sz="1800">
            <a:solidFill>
              <a:schemeClr val="tx2">
                <a:lumMod val="40000"/>
                <a:lumOff val="60000"/>
              </a:schemeClr>
            </a:solidFill>
            <a:latin typeface="+mj-lt"/>
          </a:endParaRPr>
        </a:p>
      </xdr:txBody>
    </xdr:sp>
    <xdr:clientData/>
  </xdr:twoCellAnchor>
  <xdr:twoCellAnchor editAs="oneCell">
    <xdr:from>
      <xdr:col>11</xdr:col>
      <xdr:colOff>0</xdr:colOff>
      <xdr:row>0</xdr:row>
      <xdr:rowOff>733425</xdr:rowOff>
    </xdr:from>
    <xdr:to>
      <xdr:col>12</xdr:col>
      <xdr:colOff>644243</xdr:colOff>
      <xdr:row>0</xdr:row>
      <xdr:rowOff>1447800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xmlns="" val="0"/>
            </a:ext>
          </a:extLst>
        </a:blip>
        <a:stretch>
          <a:fillRect/>
        </a:stretch>
      </xdr:blipFill>
      <xdr:spPr>
        <a:xfrm>
          <a:off x="10623832" y="733425"/>
          <a:ext cx="1511018" cy="714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NRC/KP/6%20FEB'21/Kithen%20Outsource-%20Nalas%20Inn_%20Feb'21%20co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an expenses"/>
      <sheetName val="Batch Costing"/>
      <sheetName val="Sheet2"/>
      <sheetName val="Prices"/>
      <sheetName val="M chukka"/>
      <sheetName val="M Varuval "/>
      <sheetName val="NP"/>
      <sheetName val="NC"/>
      <sheetName val="Kadai Masala"/>
      <sheetName val="chukka"/>
      <sheetName val="Bread Halwa"/>
      <sheetName val="Ghee Rice"/>
      <sheetName val="Biryani Rice"/>
      <sheetName val="C Curry"/>
      <sheetName val="BRP"/>
      <sheetName val="NS"/>
    </sheetNames>
    <sheetDataSet>
      <sheetData sheetId="0"/>
      <sheetData sheetId="1"/>
      <sheetData sheetId="2"/>
      <sheetData sheetId="3"/>
      <sheetData sheetId="4"/>
      <sheetData sheetId="5"/>
      <sheetData sheetId="6"/>
      <sheetData sheetId="7"/>
      <sheetData sheetId="8">
        <row r="12">
          <cell r="D12">
            <v>79</v>
          </cell>
        </row>
      </sheetData>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id="1" name="Inventory_List_Table" displayName="Inventory_List_Table" ref="B3:M97" totalsRowShown="0" headerRowDxfId="19" dataDxfId="18">
  <autoFilter ref="B3:M97"/>
  <sortState ref="B4:M95">
    <sortCondition ref="E3:E95"/>
  </sortState>
  <tableColumns count="12">
    <tableColumn id="1" name="For Reorder" dataDxfId="17"/>
    <tableColumn id="2" name="Inventory ID" dataDxfId="16"/>
    <tableColumn id="3" name="Name" dataDxfId="15"/>
    <tableColumn id="4" name="Description" dataDxfId="14"/>
    <tableColumn id="5" name="Unit Price" dataDxfId="13"/>
    <tableColumn id="12" name="Main Stock" dataDxfId="12"/>
    <tableColumn id="6" name="Chicken Stock" dataDxfId="11"/>
    <tableColumn id="13" name="Total Stock" dataDxfId="10">
      <calculatedColumnFormula>Inventory_List_Table[[#This Row],[Main Stock]]+Inventory_List_Table[[#This Row],[Chicken Stock]]</calculatedColumnFormula>
    </tableColumn>
    <tableColumn id="7" name="Inventory purchased" dataDxfId="9"/>
    <tableColumn id="10" name="Total Inventry" dataDxfId="8">
      <calculatedColumnFormula>Inventory_List_Table[[#This Row],[Total Stock]]+Inventory_List_Table[[#This Row],[Inventory purchased]]</calculatedColumnFormula>
    </tableColumn>
    <tableColumn id="8" name="Inventry Consumed" dataDxfId="7"/>
    <tableColumn id="9" name="Net Stock2" dataDxfId="6">
      <calculatedColumnFormula>Inventory_List_Table[[#This Row],[Total Inventry]]-Inventory_List_Table[[#This Row],[Inventry Consumed]]</calculatedColumnFormula>
    </tableColumn>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B1:M97"/>
  <sheetViews>
    <sheetView showGridLines="0" topLeftCell="A86" workbookViewId="0">
      <selection activeCell="D98" sqref="D98"/>
    </sheetView>
  </sheetViews>
  <sheetFormatPr defaultColWidth="8.84375" defaultRowHeight="24" customHeight="1"/>
  <cols>
    <col min="1" max="1" width="1.84375" style="4" customWidth="1"/>
    <col min="2" max="2" width="6.84375" style="3" customWidth="1"/>
    <col min="3" max="3" width="12.84375" style="6" customWidth="1"/>
    <col min="4" max="4" width="30.3828125" style="6" bestFit="1" customWidth="1"/>
    <col min="5" max="5" width="16.84375" style="6" customWidth="1"/>
    <col min="6" max="11" width="10.84375" style="8" customWidth="1"/>
    <col min="12" max="12" width="11.3828125" style="4" customWidth="1"/>
    <col min="13" max="16384" width="8.84375" style="4"/>
  </cols>
  <sheetData>
    <row r="1" spans="2:13" s="1" customFormat="1" ht="116.25" customHeight="1">
      <c r="B1" s="2"/>
      <c r="C1" s="5"/>
      <c r="D1" s="5"/>
      <c r="E1" s="5"/>
      <c r="H1" s="7"/>
      <c r="I1" s="7"/>
      <c r="L1" s="1" t="s">
        <v>6</v>
      </c>
    </row>
    <row r="2" spans="2:13" ht="23.25" customHeight="1" thickBot="1">
      <c r="C2" s="9"/>
      <c r="D2" s="9"/>
      <c r="E2" s="9"/>
      <c r="F2" s="4"/>
      <c r="G2" s="4"/>
      <c r="H2" s="10"/>
      <c r="I2" s="10"/>
      <c r="J2" s="4"/>
      <c r="K2" s="11" t="s">
        <v>0</v>
      </c>
    </row>
    <row r="3" spans="2:13" s="3" customFormat="1" ht="50.15" customHeight="1">
      <c r="B3" s="50" t="s">
        <v>5</v>
      </c>
      <c r="C3" s="51" t="s">
        <v>1</v>
      </c>
      <c r="D3" s="51" t="s">
        <v>2</v>
      </c>
      <c r="E3" s="51" t="s">
        <v>3</v>
      </c>
      <c r="F3" s="52" t="s">
        <v>4</v>
      </c>
      <c r="G3" s="51" t="s">
        <v>327</v>
      </c>
      <c r="H3" s="51" t="s">
        <v>328</v>
      </c>
      <c r="I3" s="51" t="s">
        <v>301</v>
      </c>
      <c r="J3" s="52" t="s">
        <v>321</v>
      </c>
      <c r="K3" s="51" t="s">
        <v>324</v>
      </c>
      <c r="L3" s="53" t="s">
        <v>326</v>
      </c>
      <c r="M3" s="63" t="s">
        <v>325</v>
      </c>
    </row>
    <row r="4" spans="2:13" ht="24" customHeight="1">
      <c r="B4" s="54"/>
      <c r="C4" s="31" t="s">
        <v>217</v>
      </c>
      <c r="D4" s="32" t="s">
        <v>11</v>
      </c>
      <c r="E4" s="31" t="s">
        <v>12</v>
      </c>
      <c r="F4" s="33"/>
      <c r="G4" s="34"/>
      <c r="H4" s="34"/>
      <c r="I4" s="34">
        <f>Inventory_List_Table[[#This Row],[Main Stock]]+Inventory_List_Table[[#This Row],[Chicken Stock]]</f>
        <v>0</v>
      </c>
      <c r="J4" s="35"/>
      <c r="K4" s="65">
        <f>Inventory_List_Table[[#This Row],[Total Stock]]+Inventory_List_Table[[#This Row],[Inventory purchased]]</f>
        <v>0</v>
      </c>
      <c r="L4" s="66"/>
      <c r="M4" s="67">
        <f>Inventory_List_Table[[#This Row],[Total Inventry]]-Inventory_List_Table[[#This Row],[Inventry Consumed]]</f>
        <v>0</v>
      </c>
    </row>
    <row r="5" spans="2:13" ht="24" customHeight="1">
      <c r="B5" s="55"/>
      <c r="C5" s="31" t="s">
        <v>218</v>
      </c>
      <c r="D5" s="36" t="s">
        <v>14</v>
      </c>
      <c r="E5" s="37" t="s">
        <v>12</v>
      </c>
      <c r="F5" s="33"/>
      <c r="G5" s="34"/>
      <c r="H5" s="34"/>
      <c r="I5" s="34">
        <f>Inventory_List_Table[[#This Row],[Main Stock]]+Inventory_List_Table[[#This Row],[Chicken Stock]]</f>
        <v>0</v>
      </c>
      <c r="J5" s="35"/>
      <c r="K5" s="65">
        <f>Inventory_List_Table[[#This Row],[Total Stock]]+Inventory_List_Table[[#This Row],[Inventory purchased]]</f>
        <v>0</v>
      </c>
      <c r="L5" s="66"/>
      <c r="M5" s="67">
        <f>Inventory_List_Table[[#This Row],[Total Inventry]]-Inventory_List_Table[[#This Row],[Inventry Consumed]]</f>
        <v>0</v>
      </c>
    </row>
    <row r="6" spans="2:13" ht="24" customHeight="1">
      <c r="B6" s="54"/>
      <c r="C6" s="31" t="s">
        <v>219</v>
      </c>
      <c r="D6" s="32" t="s">
        <v>16</v>
      </c>
      <c r="E6" s="37" t="s">
        <v>12</v>
      </c>
      <c r="F6" s="33"/>
      <c r="G6" s="34"/>
      <c r="H6" s="34"/>
      <c r="I6" s="34">
        <f>Inventory_List_Table[[#This Row],[Main Stock]]+Inventory_List_Table[[#This Row],[Chicken Stock]]</f>
        <v>0</v>
      </c>
      <c r="J6" s="35"/>
      <c r="K6" s="65">
        <f>Inventory_List_Table[[#This Row],[Total Stock]]+Inventory_List_Table[[#This Row],[Inventory purchased]]</f>
        <v>0</v>
      </c>
      <c r="L6" s="66"/>
      <c r="M6" s="67">
        <f>Inventory_List_Table[[#This Row],[Total Inventry]]-Inventory_List_Table[[#This Row],[Inventry Consumed]]</f>
        <v>0</v>
      </c>
    </row>
    <row r="7" spans="2:13" ht="24" customHeight="1">
      <c r="B7" s="55"/>
      <c r="C7" s="31" t="s">
        <v>220</v>
      </c>
      <c r="D7" s="32" t="s">
        <v>44</v>
      </c>
      <c r="E7" s="31" t="s">
        <v>45</v>
      </c>
      <c r="F7" s="33"/>
      <c r="G7" s="34"/>
      <c r="H7" s="34"/>
      <c r="I7" s="34">
        <f>Inventory_List_Table[[#This Row],[Main Stock]]+Inventory_List_Table[[#This Row],[Chicken Stock]]</f>
        <v>0</v>
      </c>
      <c r="J7" s="35"/>
      <c r="K7" s="65">
        <f>Inventory_List_Table[[#This Row],[Total Stock]]+Inventory_List_Table[[#This Row],[Inventory purchased]]</f>
        <v>0</v>
      </c>
      <c r="L7" s="66"/>
      <c r="M7" s="67">
        <f>Inventory_List_Table[[#This Row],[Total Inventry]]-Inventory_List_Table[[#This Row],[Inventry Consumed]]</f>
        <v>0</v>
      </c>
    </row>
    <row r="8" spans="2:13" ht="24" customHeight="1">
      <c r="B8" s="55"/>
      <c r="C8" s="31" t="s">
        <v>221</v>
      </c>
      <c r="D8" s="36" t="s">
        <v>47</v>
      </c>
      <c r="E8" s="31" t="s">
        <v>45</v>
      </c>
      <c r="F8" s="33"/>
      <c r="G8" s="34"/>
      <c r="H8" s="34"/>
      <c r="I8" s="34">
        <f>Inventory_List_Table[[#This Row],[Main Stock]]+Inventory_List_Table[[#This Row],[Chicken Stock]]</f>
        <v>0</v>
      </c>
      <c r="J8" s="35"/>
      <c r="K8" s="65">
        <f>Inventory_List_Table[[#This Row],[Total Stock]]+Inventory_List_Table[[#This Row],[Inventory purchased]]</f>
        <v>0</v>
      </c>
      <c r="L8" s="66"/>
      <c r="M8" s="67">
        <f>Inventory_List_Table[[#This Row],[Total Inventry]]-Inventory_List_Table[[#This Row],[Inventry Consumed]]</f>
        <v>0</v>
      </c>
    </row>
    <row r="9" spans="2:13" ht="24" customHeight="1">
      <c r="B9" s="55"/>
      <c r="C9" s="31" t="s">
        <v>222</v>
      </c>
      <c r="D9" s="31" t="s">
        <v>51</v>
      </c>
      <c r="E9" s="31" t="s">
        <v>49</v>
      </c>
      <c r="F9" s="33"/>
      <c r="G9" s="34"/>
      <c r="H9" s="34">
        <v>20</v>
      </c>
      <c r="I9" s="34">
        <f>Inventory_List_Table[[#This Row],[Main Stock]]+Inventory_List_Table[[#This Row],[Chicken Stock]]</f>
        <v>20</v>
      </c>
      <c r="J9" s="35"/>
      <c r="K9" s="65">
        <f>Inventory_List_Table[[#This Row],[Total Stock]]+Inventory_List_Table[[#This Row],[Inventory purchased]]</f>
        <v>20</v>
      </c>
      <c r="L9" s="66"/>
      <c r="M9" s="67">
        <f>Inventory_List_Table[[#This Row],[Total Inventry]]-Inventory_List_Table[[#This Row],[Inventry Consumed]]</f>
        <v>20</v>
      </c>
    </row>
    <row r="10" spans="2:13" ht="24" customHeight="1">
      <c r="B10" s="55"/>
      <c r="C10" s="31" t="s">
        <v>223</v>
      </c>
      <c r="D10" s="37" t="s">
        <v>332</v>
      </c>
      <c r="E10" s="31" t="s">
        <v>53</v>
      </c>
      <c r="F10" s="33"/>
      <c r="G10" s="34"/>
      <c r="H10" s="34"/>
      <c r="I10" s="34">
        <f>Inventory_List_Table[[#This Row],[Main Stock]]+Inventory_List_Table[[#This Row],[Chicken Stock]]</f>
        <v>0</v>
      </c>
      <c r="J10" s="35"/>
      <c r="K10" s="65">
        <f>Inventory_List_Table[[#This Row],[Total Stock]]+Inventory_List_Table[[#This Row],[Inventory purchased]]</f>
        <v>0</v>
      </c>
      <c r="L10" s="66"/>
      <c r="M10" s="67">
        <f>Inventory_List_Table[[#This Row],[Total Inventry]]-Inventory_List_Table[[#This Row],[Inventry Consumed]]</f>
        <v>0</v>
      </c>
    </row>
    <row r="11" spans="2:13" ht="24" customHeight="1">
      <c r="B11" s="79"/>
      <c r="C11" s="31" t="s">
        <v>224</v>
      </c>
      <c r="D11" s="37" t="s">
        <v>333</v>
      </c>
      <c r="E11" s="31" t="s">
        <v>53</v>
      </c>
      <c r="F11" s="41"/>
      <c r="G11" s="43"/>
      <c r="H11" s="43">
        <v>4</v>
      </c>
      <c r="I11" s="49">
        <f>Inventory_List_Table[[#This Row],[Main Stock]]+Inventory_List_Table[[#This Row],[Chicken Stock]]</f>
        <v>4</v>
      </c>
      <c r="J11" s="80"/>
      <c r="K11" s="81">
        <f>Inventory_List_Table[[#This Row],[Total Stock]]+Inventory_List_Table[[#This Row],[Inventory purchased]]</f>
        <v>4</v>
      </c>
      <c r="L11" s="82"/>
      <c r="M11" s="83">
        <f>Inventory_List_Table[[#This Row],[Total Inventry]]-Inventory_List_Table[[#This Row],[Inventry Consumed]]</f>
        <v>4</v>
      </c>
    </row>
    <row r="12" spans="2:13" ht="24" customHeight="1">
      <c r="B12" s="79"/>
      <c r="C12" s="31" t="s">
        <v>225</v>
      </c>
      <c r="D12" s="37" t="s">
        <v>334</v>
      </c>
      <c r="E12" s="31" t="s">
        <v>53</v>
      </c>
      <c r="F12" s="41"/>
      <c r="G12" s="43"/>
      <c r="H12" s="43">
        <v>1.5</v>
      </c>
      <c r="I12" s="49">
        <f>Inventory_List_Table[[#This Row],[Main Stock]]+Inventory_List_Table[[#This Row],[Chicken Stock]]</f>
        <v>1.5</v>
      </c>
      <c r="J12" s="80"/>
      <c r="K12" s="81">
        <f>Inventory_List_Table[[#This Row],[Total Stock]]+Inventory_List_Table[[#This Row],[Inventory purchased]]</f>
        <v>1.5</v>
      </c>
      <c r="L12" s="82"/>
      <c r="M12" s="83">
        <f>Inventory_List_Table[[#This Row],[Total Inventry]]-Inventory_List_Table[[#This Row],[Inventry Consumed]]</f>
        <v>1.5</v>
      </c>
    </row>
    <row r="13" spans="2:13" ht="24" customHeight="1">
      <c r="B13" s="55"/>
      <c r="C13" s="31" t="s">
        <v>226</v>
      </c>
      <c r="D13" s="38" t="s">
        <v>56</v>
      </c>
      <c r="E13" s="31" t="s">
        <v>53</v>
      </c>
      <c r="F13" s="33"/>
      <c r="G13" s="34">
        <v>30</v>
      </c>
      <c r="H13" s="34"/>
      <c r="I13" s="34">
        <f>Inventory_List_Table[[#This Row],[Main Stock]]+Inventory_List_Table[[#This Row],[Chicken Stock]]</f>
        <v>30</v>
      </c>
      <c r="J13" s="35"/>
      <c r="K13" s="65">
        <f>Inventory_List_Table[[#This Row],[Total Stock]]+Inventory_List_Table[[#This Row],[Inventory purchased]]</f>
        <v>30</v>
      </c>
      <c r="L13" s="66"/>
      <c r="M13" s="67">
        <f>Inventory_List_Table[[#This Row],[Total Inventry]]-Inventory_List_Table[[#This Row],[Inventry Consumed]]</f>
        <v>30</v>
      </c>
    </row>
    <row r="14" spans="2:13" ht="24" customHeight="1">
      <c r="B14" s="55"/>
      <c r="C14" s="31" t="s">
        <v>227</v>
      </c>
      <c r="D14" s="38" t="s">
        <v>57</v>
      </c>
      <c r="E14" s="31" t="s">
        <v>53</v>
      </c>
      <c r="F14" s="33"/>
      <c r="G14" s="34">
        <v>23</v>
      </c>
      <c r="H14" s="34"/>
      <c r="I14" s="34">
        <f>Inventory_List_Table[[#This Row],[Main Stock]]+Inventory_List_Table[[#This Row],[Chicken Stock]]</f>
        <v>23</v>
      </c>
      <c r="J14" s="35"/>
      <c r="K14" s="65">
        <f>Inventory_List_Table[[#This Row],[Total Stock]]+Inventory_List_Table[[#This Row],[Inventory purchased]]</f>
        <v>23</v>
      </c>
      <c r="L14" s="66"/>
      <c r="M14" s="67">
        <f>Inventory_List_Table[[#This Row],[Total Inventry]]-Inventory_List_Table[[#This Row],[Inventry Consumed]]</f>
        <v>23</v>
      </c>
    </row>
    <row r="15" spans="2:13" ht="24" customHeight="1">
      <c r="B15" s="55"/>
      <c r="C15" s="31" t="s">
        <v>228</v>
      </c>
      <c r="D15" s="39" t="s">
        <v>58</v>
      </c>
      <c r="E15" s="31" t="s">
        <v>53</v>
      </c>
      <c r="F15" s="33"/>
      <c r="G15" s="34"/>
      <c r="H15" s="34">
        <v>23</v>
      </c>
      <c r="I15" s="34">
        <f>Inventory_List_Table[[#This Row],[Main Stock]]+Inventory_List_Table[[#This Row],[Chicken Stock]]</f>
        <v>23</v>
      </c>
      <c r="J15" s="35"/>
      <c r="K15" s="65">
        <f>Inventory_List_Table[[#This Row],[Total Stock]]+Inventory_List_Table[[#This Row],[Inventory purchased]]</f>
        <v>23</v>
      </c>
      <c r="L15" s="66"/>
      <c r="M15" s="67">
        <f>Inventory_List_Table[[#This Row],[Total Inventry]]-Inventory_List_Table[[#This Row],[Inventry Consumed]]</f>
        <v>23</v>
      </c>
    </row>
    <row r="16" spans="2:13" ht="24" customHeight="1">
      <c r="B16" s="55"/>
      <c r="C16" s="31" t="s">
        <v>229</v>
      </c>
      <c r="D16" s="39" t="s">
        <v>177</v>
      </c>
      <c r="E16" s="31" t="s">
        <v>53</v>
      </c>
      <c r="F16" s="33"/>
      <c r="G16" s="34"/>
      <c r="H16" s="34">
        <v>6</v>
      </c>
      <c r="I16" s="34">
        <f>Inventory_List_Table[[#This Row],[Main Stock]]+Inventory_List_Table[[#This Row],[Chicken Stock]]</f>
        <v>6</v>
      </c>
      <c r="J16" s="35"/>
      <c r="K16" s="65">
        <f>Inventory_List_Table[[#This Row],[Total Stock]]+Inventory_List_Table[[#This Row],[Inventory purchased]]</f>
        <v>6</v>
      </c>
      <c r="L16" s="66"/>
      <c r="M16" s="67">
        <f>Inventory_List_Table[[#This Row],[Total Inventry]]-Inventory_List_Table[[#This Row],[Inventry Consumed]]</f>
        <v>6</v>
      </c>
    </row>
    <row r="17" spans="2:13" ht="24" customHeight="1">
      <c r="B17" s="55"/>
      <c r="C17" s="31" t="s">
        <v>230</v>
      </c>
      <c r="D17" s="32" t="s">
        <v>205</v>
      </c>
      <c r="E17" s="31" t="s">
        <v>53</v>
      </c>
      <c r="F17" s="33"/>
      <c r="G17" s="34"/>
      <c r="H17" s="34"/>
      <c r="I17" s="34">
        <f>Inventory_List_Table[[#This Row],[Main Stock]]+Inventory_List_Table[[#This Row],[Chicken Stock]]</f>
        <v>0</v>
      </c>
      <c r="J17" s="35"/>
      <c r="K17" s="65">
        <f>Inventory_List_Table[[#This Row],[Total Stock]]+Inventory_List_Table[[#This Row],[Inventory purchased]]</f>
        <v>0</v>
      </c>
      <c r="L17" s="66"/>
      <c r="M17" s="67">
        <f>Inventory_List_Table[[#This Row],[Total Inventry]]-Inventory_List_Table[[#This Row],[Inventry Consumed]]</f>
        <v>0</v>
      </c>
    </row>
    <row r="18" spans="2:13" ht="24" customHeight="1">
      <c r="B18" s="55"/>
      <c r="C18" s="31" t="s">
        <v>231</v>
      </c>
      <c r="D18" s="38" t="s">
        <v>52</v>
      </c>
      <c r="E18" s="31" t="s">
        <v>53</v>
      </c>
      <c r="F18" s="33"/>
      <c r="G18" s="34">
        <v>2</v>
      </c>
      <c r="H18" s="34"/>
      <c r="I18" s="34">
        <f>Inventory_List_Table[[#This Row],[Main Stock]]+Inventory_List_Table[[#This Row],[Chicken Stock]]</f>
        <v>2</v>
      </c>
      <c r="J18" s="35"/>
      <c r="K18" s="65">
        <f>Inventory_List_Table[[#This Row],[Total Stock]]+Inventory_List_Table[[#This Row],[Inventory purchased]]</f>
        <v>2</v>
      </c>
      <c r="L18" s="66"/>
      <c r="M18" s="67">
        <f>Inventory_List_Table[[#This Row],[Total Inventry]]-Inventory_List_Table[[#This Row],[Inventry Consumed]]</f>
        <v>2</v>
      </c>
    </row>
    <row r="19" spans="2:13" ht="24" customHeight="1">
      <c r="B19" s="55"/>
      <c r="C19" s="31" t="s">
        <v>232</v>
      </c>
      <c r="D19" s="39" t="s">
        <v>63</v>
      </c>
      <c r="E19" s="31" t="s">
        <v>53</v>
      </c>
      <c r="F19" s="33"/>
      <c r="G19" s="34"/>
      <c r="H19" s="34"/>
      <c r="I19" s="34">
        <f>Inventory_List_Table[[#This Row],[Main Stock]]+Inventory_List_Table[[#This Row],[Chicken Stock]]</f>
        <v>0</v>
      </c>
      <c r="J19" s="35"/>
      <c r="K19" s="65">
        <f>Inventory_List_Table[[#This Row],[Total Stock]]+Inventory_List_Table[[#This Row],[Inventory purchased]]</f>
        <v>0</v>
      </c>
      <c r="L19" s="66"/>
      <c r="M19" s="67">
        <f>Inventory_List_Table[[#This Row],[Total Inventry]]-Inventory_List_Table[[#This Row],[Inventry Consumed]]</f>
        <v>0</v>
      </c>
    </row>
    <row r="20" spans="2:13" ht="24" customHeight="1">
      <c r="B20" s="55"/>
      <c r="C20" s="31" t="s">
        <v>233</v>
      </c>
      <c r="D20" s="39" t="s">
        <v>64</v>
      </c>
      <c r="E20" s="31" t="s">
        <v>53</v>
      </c>
      <c r="F20" s="33"/>
      <c r="G20" s="34"/>
      <c r="H20" s="34"/>
      <c r="I20" s="34">
        <f>Inventory_List_Table[[#This Row],[Main Stock]]+Inventory_List_Table[[#This Row],[Chicken Stock]]</f>
        <v>0</v>
      </c>
      <c r="J20" s="35"/>
      <c r="K20" s="65">
        <f>Inventory_List_Table[[#This Row],[Total Stock]]+Inventory_List_Table[[#This Row],[Inventory purchased]]</f>
        <v>0</v>
      </c>
      <c r="L20" s="66"/>
      <c r="M20" s="67">
        <f>Inventory_List_Table[[#This Row],[Total Inventry]]-Inventory_List_Table[[#This Row],[Inventry Consumed]]</f>
        <v>0</v>
      </c>
    </row>
    <row r="21" spans="2:13" ht="24" customHeight="1">
      <c r="B21" s="55"/>
      <c r="C21" s="31" t="s">
        <v>234</v>
      </c>
      <c r="D21" s="39" t="s">
        <v>65</v>
      </c>
      <c r="E21" s="31" t="s">
        <v>53</v>
      </c>
      <c r="F21" s="33"/>
      <c r="G21" s="34"/>
      <c r="H21" s="34"/>
      <c r="I21" s="34">
        <f>Inventory_List_Table[[#This Row],[Main Stock]]+Inventory_List_Table[[#This Row],[Chicken Stock]]</f>
        <v>0</v>
      </c>
      <c r="J21" s="35"/>
      <c r="K21" s="65">
        <f>Inventory_List_Table[[#This Row],[Total Stock]]+Inventory_List_Table[[#This Row],[Inventory purchased]]</f>
        <v>0</v>
      </c>
      <c r="L21" s="66"/>
      <c r="M21" s="67">
        <f>Inventory_List_Table[[#This Row],[Total Inventry]]-Inventory_List_Table[[#This Row],[Inventry Consumed]]</f>
        <v>0</v>
      </c>
    </row>
    <row r="22" spans="2:13" ht="24" customHeight="1">
      <c r="B22" s="55"/>
      <c r="C22" s="31" t="s">
        <v>235</v>
      </c>
      <c r="D22" s="39" t="s">
        <v>67</v>
      </c>
      <c r="E22" s="31" t="s">
        <v>53</v>
      </c>
      <c r="F22" s="33"/>
      <c r="G22" s="34"/>
      <c r="H22" s="34"/>
      <c r="I22" s="34">
        <f>Inventory_List_Table[[#This Row],[Main Stock]]+Inventory_List_Table[[#This Row],[Chicken Stock]]</f>
        <v>0</v>
      </c>
      <c r="J22" s="35"/>
      <c r="K22" s="65">
        <f>Inventory_List_Table[[#This Row],[Total Stock]]+Inventory_List_Table[[#This Row],[Inventory purchased]]</f>
        <v>0</v>
      </c>
      <c r="L22" s="66"/>
      <c r="M22" s="67">
        <f>Inventory_List_Table[[#This Row],[Total Inventry]]-Inventory_List_Table[[#This Row],[Inventry Consumed]]</f>
        <v>0</v>
      </c>
    </row>
    <row r="23" spans="2:13" ht="24" customHeight="1">
      <c r="B23" s="55"/>
      <c r="C23" s="31" t="s">
        <v>236</v>
      </c>
      <c r="D23" s="39" t="s">
        <v>206</v>
      </c>
      <c r="E23" s="31" t="s">
        <v>53</v>
      </c>
      <c r="F23" s="33"/>
      <c r="G23" s="34"/>
      <c r="H23" s="34">
        <v>5</v>
      </c>
      <c r="I23" s="34">
        <f>Inventory_List_Table[[#This Row],[Main Stock]]+Inventory_List_Table[[#This Row],[Chicken Stock]]</f>
        <v>5</v>
      </c>
      <c r="J23" s="35"/>
      <c r="K23" s="65">
        <f>Inventory_List_Table[[#This Row],[Total Stock]]+Inventory_List_Table[[#This Row],[Inventory purchased]]</f>
        <v>5</v>
      </c>
      <c r="L23" s="66"/>
      <c r="M23" s="67">
        <f>Inventory_List_Table[[#This Row],[Total Inventry]]-Inventory_List_Table[[#This Row],[Inventry Consumed]]</f>
        <v>5</v>
      </c>
    </row>
    <row r="24" spans="2:13" ht="24" customHeight="1">
      <c r="B24" s="55"/>
      <c r="C24" s="31" t="s">
        <v>237</v>
      </c>
      <c r="D24" s="39" t="s">
        <v>169</v>
      </c>
      <c r="E24" s="31" t="s">
        <v>53</v>
      </c>
      <c r="F24" s="33"/>
      <c r="G24" s="34">
        <v>30</v>
      </c>
      <c r="H24" s="34">
        <v>10</v>
      </c>
      <c r="I24" s="34">
        <f>Inventory_List_Table[[#This Row],[Main Stock]]+Inventory_List_Table[[#This Row],[Chicken Stock]]</f>
        <v>40</v>
      </c>
      <c r="J24" s="35"/>
      <c r="K24" s="65">
        <f>Inventory_List_Table[[#This Row],[Total Stock]]+Inventory_List_Table[[#This Row],[Inventory purchased]]</f>
        <v>40</v>
      </c>
      <c r="L24" s="66"/>
      <c r="M24" s="67">
        <f>Inventory_List_Table[[#This Row],[Total Inventry]]-Inventory_List_Table[[#This Row],[Inventry Consumed]]</f>
        <v>40</v>
      </c>
    </row>
    <row r="25" spans="2:13" ht="24" customHeight="1">
      <c r="B25" s="55"/>
      <c r="C25" s="31" t="s">
        <v>238</v>
      </c>
      <c r="D25" s="32" t="s">
        <v>170</v>
      </c>
      <c r="E25" s="31" t="s">
        <v>53</v>
      </c>
      <c r="F25" s="33"/>
      <c r="G25" s="34">
        <v>15</v>
      </c>
      <c r="H25" s="34">
        <v>2</v>
      </c>
      <c r="I25" s="34">
        <f>Inventory_List_Table[[#This Row],[Main Stock]]+Inventory_List_Table[[#This Row],[Chicken Stock]]</f>
        <v>17</v>
      </c>
      <c r="J25" s="35"/>
      <c r="K25" s="65">
        <f>Inventory_List_Table[[#This Row],[Total Stock]]+Inventory_List_Table[[#This Row],[Inventory purchased]]</f>
        <v>17</v>
      </c>
      <c r="L25" s="66"/>
      <c r="M25" s="67">
        <f>Inventory_List_Table[[#This Row],[Total Inventry]]-Inventory_List_Table[[#This Row],[Inventry Consumed]]</f>
        <v>17</v>
      </c>
    </row>
    <row r="26" spans="2:13" ht="24" customHeight="1">
      <c r="B26" s="64"/>
      <c r="C26" s="31" t="s">
        <v>239</v>
      </c>
      <c r="D26" s="38" t="s">
        <v>171</v>
      </c>
      <c r="E26" s="31" t="s">
        <v>53</v>
      </c>
      <c r="F26" s="33"/>
      <c r="G26" s="34"/>
      <c r="H26" s="34">
        <v>5</v>
      </c>
      <c r="I26" s="34">
        <f>Inventory_List_Table[[#This Row],[Main Stock]]+Inventory_List_Table[[#This Row],[Chicken Stock]]</f>
        <v>5</v>
      </c>
      <c r="J26" s="35"/>
      <c r="K26" s="65">
        <f>Inventory_List_Table[[#This Row],[Total Stock]]+Inventory_List_Table[[#This Row],[Inventory purchased]]</f>
        <v>5</v>
      </c>
      <c r="L26" s="66"/>
      <c r="M26" s="67">
        <f>Inventory_List_Table[[#This Row],[Total Inventry]]-Inventory_List_Table[[#This Row],[Inventry Consumed]]</f>
        <v>5</v>
      </c>
    </row>
    <row r="27" spans="2:13" ht="24" customHeight="1">
      <c r="B27" s="55"/>
      <c r="C27" s="31" t="s">
        <v>240</v>
      </c>
      <c r="D27" s="39" t="s">
        <v>172</v>
      </c>
      <c r="E27" s="31" t="s">
        <v>53</v>
      </c>
      <c r="F27" s="33"/>
      <c r="G27" s="34">
        <v>14</v>
      </c>
      <c r="H27" s="34">
        <v>3</v>
      </c>
      <c r="I27" s="34">
        <f>Inventory_List_Table[[#This Row],[Main Stock]]+Inventory_List_Table[[#This Row],[Chicken Stock]]</f>
        <v>17</v>
      </c>
      <c r="J27" s="35"/>
      <c r="K27" s="65">
        <f>Inventory_List_Table[[#This Row],[Total Stock]]+Inventory_List_Table[[#This Row],[Inventory purchased]]</f>
        <v>17</v>
      </c>
      <c r="L27" s="66"/>
      <c r="M27" s="67">
        <f>Inventory_List_Table[[#This Row],[Total Inventry]]-Inventory_List_Table[[#This Row],[Inventry Consumed]]</f>
        <v>17</v>
      </c>
    </row>
    <row r="28" spans="2:13" ht="24" customHeight="1">
      <c r="B28" s="55"/>
      <c r="C28" s="31" t="s">
        <v>241</v>
      </c>
      <c r="D28" s="39" t="s">
        <v>207</v>
      </c>
      <c r="E28" s="31" t="s">
        <v>53</v>
      </c>
      <c r="F28" s="33"/>
      <c r="G28" s="34">
        <v>30</v>
      </c>
      <c r="H28" s="34">
        <v>5</v>
      </c>
      <c r="I28" s="34">
        <f>Inventory_List_Table[[#This Row],[Main Stock]]+Inventory_List_Table[[#This Row],[Chicken Stock]]</f>
        <v>35</v>
      </c>
      <c r="J28" s="35"/>
      <c r="K28" s="65">
        <f>Inventory_List_Table[[#This Row],[Total Stock]]+Inventory_List_Table[[#This Row],[Inventory purchased]]</f>
        <v>35</v>
      </c>
      <c r="L28" s="66"/>
      <c r="M28" s="67">
        <f>Inventory_List_Table[[#This Row],[Total Inventry]]-Inventory_List_Table[[#This Row],[Inventry Consumed]]</f>
        <v>35</v>
      </c>
    </row>
    <row r="29" spans="2:13" ht="24" customHeight="1">
      <c r="B29" s="55"/>
      <c r="C29" s="31" t="s">
        <v>242</v>
      </c>
      <c r="D29" s="39" t="s">
        <v>208</v>
      </c>
      <c r="E29" s="31" t="s">
        <v>53</v>
      </c>
      <c r="F29" s="33"/>
      <c r="G29" s="34">
        <v>4</v>
      </c>
      <c r="H29" s="34"/>
      <c r="I29" s="34">
        <f>Inventory_List_Table[[#This Row],[Main Stock]]+Inventory_List_Table[[#This Row],[Chicken Stock]]</f>
        <v>4</v>
      </c>
      <c r="J29" s="35"/>
      <c r="K29" s="65">
        <f>Inventory_List_Table[[#This Row],[Total Stock]]+Inventory_List_Table[[#This Row],[Inventory purchased]]</f>
        <v>4</v>
      </c>
      <c r="L29" s="66"/>
      <c r="M29" s="67">
        <f>Inventory_List_Table[[#This Row],[Total Inventry]]-Inventory_List_Table[[#This Row],[Inventry Consumed]]</f>
        <v>4</v>
      </c>
    </row>
    <row r="30" spans="2:13" ht="24" customHeight="1">
      <c r="B30" s="55"/>
      <c r="C30" s="31" t="s">
        <v>243</v>
      </c>
      <c r="D30" s="39" t="s">
        <v>209</v>
      </c>
      <c r="E30" s="31" t="s">
        <v>53</v>
      </c>
      <c r="F30" s="33"/>
      <c r="G30" s="34"/>
      <c r="H30" s="34"/>
      <c r="I30" s="34">
        <f>Inventory_List_Table[[#This Row],[Main Stock]]+Inventory_List_Table[[#This Row],[Chicken Stock]]</f>
        <v>0</v>
      </c>
      <c r="J30" s="35"/>
      <c r="K30" s="65">
        <f>Inventory_List_Table[[#This Row],[Total Stock]]+Inventory_List_Table[[#This Row],[Inventory purchased]]</f>
        <v>0</v>
      </c>
      <c r="L30" s="66"/>
      <c r="M30" s="67">
        <f>Inventory_List_Table[[#This Row],[Total Inventry]]-Inventory_List_Table[[#This Row],[Inventry Consumed]]</f>
        <v>0</v>
      </c>
    </row>
    <row r="31" spans="2:13" ht="24" customHeight="1">
      <c r="B31" s="55"/>
      <c r="C31" s="31" t="s">
        <v>244</v>
      </c>
      <c r="D31" s="39" t="s">
        <v>307</v>
      </c>
      <c r="E31" s="31" t="s">
        <v>53</v>
      </c>
      <c r="F31" s="33"/>
      <c r="G31" s="34"/>
      <c r="H31" s="34"/>
      <c r="I31" s="34">
        <f>Inventory_List_Table[[#This Row],[Main Stock]]+Inventory_List_Table[[#This Row],[Chicken Stock]]</f>
        <v>0</v>
      </c>
      <c r="J31" s="35"/>
      <c r="K31" s="65">
        <f>Inventory_List_Table[[#This Row],[Total Stock]]+Inventory_List_Table[[#This Row],[Inventory purchased]]</f>
        <v>0</v>
      </c>
      <c r="L31" s="66"/>
      <c r="M31" s="67">
        <f>Inventory_List_Table[[#This Row],[Total Inventry]]-Inventory_List_Table[[#This Row],[Inventry Consumed]]</f>
        <v>0</v>
      </c>
    </row>
    <row r="32" spans="2:13" ht="24" customHeight="1">
      <c r="B32" s="55"/>
      <c r="C32" s="31" t="s">
        <v>245</v>
      </c>
      <c r="D32" s="39" t="s">
        <v>210</v>
      </c>
      <c r="E32" s="31" t="s">
        <v>53</v>
      </c>
      <c r="F32" s="33"/>
      <c r="G32" s="34"/>
      <c r="H32" s="34"/>
      <c r="I32" s="34">
        <f>Inventory_List_Table[[#This Row],[Main Stock]]+Inventory_List_Table[[#This Row],[Chicken Stock]]</f>
        <v>0</v>
      </c>
      <c r="J32" s="35"/>
      <c r="K32" s="65">
        <f>Inventory_List_Table[[#This Row],[Total Stock]]+Inventory_List_Table[[#This Row],[Inventory purchased]]</f>
        <v>0</v>
      </c>
      <c r="L32" s="66"/>
      <c r="M32" s="67">
        <f>Inventory_List_Table[[#This Row],[Total Inventry]]-Inventory_List_Table[[#This Row],[Inventry Consumed]]</f>
        <v>0</v>
      </c>
    </row>
    <row r="33" spans="2:13" ht="24" customHeight="1">
      <c r="B33" s="55"/>
      <c r="C33" s="31" t="s">
        <v>246</v>
      </c>
      <c r="D33" s="39" t="s">
        <v>211</v>
      </c>
      <c r="E33" s="31" t="s">
        <v>53</v>
      </c>
      <c r="F33" s="33"/>
      <c r="G33" s="34"/>
      <c r="H33" s="34"/>
      <c r="I33" s="34">
        <f>Inventory_List_Table[[#This Row],[Main Stock]]+Inventory_List_Table[[#This Row],[Chicken Stock]]</f>
        <v>0</v>
      </c>
      <c r="J33" s="35"/>
      <c r="K33" s="65">
        <f>Inventory_List_Table[[#This Row],[Total Stock]]+Inventory_List_Table[[#This Row],[Inventory purchased]]</f>
        <v>0</v>
      </c>
      <c r="L33" s="66"/>
      <c r="M33" s="67">
        <f>Inventory_List_Table[[#This Row],[Total Inventry]]-Inventory_List_Table[[#This Row],[Inventry Consumed]]</f>
        <v>0</v>
      </c>
    </row>
    <row r="34" spans="2:13" ht="24" customHeight="1">
      <c r="B34" s="55"/>
      <c r="C34" s="31" t="s">
        <v>247</v>
      </c>
      <c r="D34" s="39" t="s">
        <v>212</v>
      </c>
      <c r="E34" s="31" t="s">
        <v>53</v>
      </c>
      <c r="F34" s="33"/>
      <c r="G34" s="34"/>
      <c r="H34" s="34"/>
      <c r="I34" s="34">
        <f>Inventory_List_Table[[#This Row],[Main Stock]]+Inventory_List_Table[[#This Row],[Chicken Stock]]</f>
        <v>0</v>
      </c>
      <c r="J34" s="35"/>
      <c r="K34" s="65">
        <f>Inventory_List_Table[[#This Row],[Total Stock]]+Inventory_List_Table[[#This Row],[Inventory purchased]]</f>
        <v>0</v>
      </c>
      <c r="L34" s="66"/>
      <c r="M34" s="67">
        <f>Inventory_List_Table[[#This Row],[Total Inventry]]-Inventory_List_Table[[#This Row],[Inventry Consumed]]</f>
        <v>0</v>
      </c>
    </row>
    <row r="35" spans="2:13" ht="24" customHeight="1">
      <c r="B35" s="55"/>
      <c r="C35" s="31" t="s">
        <v>248</v>
      </c>
      <c r="D35" s="40" t="s">
        <v>313</v>
      </c>
      <c r="E35" s="31" t="s">
        <v>53</v>
      </c>
      <c r="F35" s="33"/>
      <c r="G35" s="34"/>
      <c r="H35" s="34"/>
      <c r="I35" s="34">
        <f>Inventory_List_Table[[#This Row],[Main Stock]]+Inventory_List_Table[[#This Row],[Chicken Stock]]</f>
        <v>0</v>
      </c>
      <c r="J35" s="35"/>
      <c r="K35" s="65">
        <f>Inventory_List_Table[[#This Row],[Total Stock]]+Inventory_List_Table[[#This Row],[Inventory purchased]]</f>
        <v>0</v>
      </c>
      <c r="L35" s="66"/>
      <c r="M35" s="67">
        <f>Inventory_List_Table[[#This Row],[Total Inventry]]-Inventory_List_Table[[#This Row],[Inventry Consumed]]</f>
        <v>0</v>
      </c>
    </row>
    <row r="36" spans="2:13" ht="24" customHeight="1">
      <c r="B36" s="55"/>
      <c r="C36" s="31" t="s">
        <v>249</v>
      </c>
      <c r="D36" s="31" t="s">
        <v>23</v>
      </c>
      <c r="E36" s="31" t="s">
        <v>53</v>
      </c>
      <c r="F36" s="33"/>
      <c r="G36" s="34">
        <v>5</v>
      </c>
      <c r="H36" s="34">
        <v>5</v>
      </c>
      <c r="I36" s="34">
        <f>Inventory_List_Table[[#This Row],[Main Stock]]+Inventory_List_Table[[#This Row],[Chicken Stock]]</f>
        <v>10</v>
      </c>
      <c r="J36" s="35"/>
      <c r="K36" s="65">
        <f>Inventory_List_Table[[#This Row],[Total Stock]]+Inventory_List_Table[[#This Row],[Inventory purchased]]</f>
        <v>10</v>
      </c>
      <c r="L36" s="66"/>
      <c r="M36" s="67">
        <f>Inventory_List_Table[[#This Row],[Total Inventry]]-Inventory_List_Table[[#This Row],[Inventry Consumed]]</f>
        <v>10</v>
      </c>
    </row>
    <row r="37" spans="2:13" ht="24" customHeight="1">
      <c r="B37" s="55"/>
      <c r="C37" s="31" t="s">
        <v>250</v>
      </c>
      <c r="D37" s="48" t="s">
        <v>322</v>
      </c>
      <c r="E37" s="31" t="s">
        <v>53</v>
      </c>
      <c r="F37" s="41"/>
      <c r="G37" s="43">
        <v>1</v>
      </c>
      <c r="H37" s="43"/>
      <c r="I37" s="49">
        <f>Inventory_List_Table[[#This Row],[Main Stock]]+Inventory_List_Table[[#This Row],[Chicken Stock]]</f>
        <v>1</v>
      </c>
      <c r="J37" s="43"/>
      <c r="K37" s="66">
        <f>Inventory_List_Table[[#This Row],[Total Stock]]+Inventory_List_Table[[#This Row],[Inventory purchased]]</f>
        <v>1</v>
      </c>
      <c r="L37" s="66"/>
      <c r="M37" s="67">
        <f>Inventory_List_Table[[#This Row],[Total Inventry]]-Inventory_List_Table[[#This Row],[Inventry Consumed]]</f>
        <v>1</v>
      </c>
    </row>
    <row r="38" spans="2:13" ht="24" customHeight="1">
      <c r="B38" s="54"/>
      <c r="C38" s="31" t="s">
        <v>251</v>
      </c>
      <c r="D38" s="71" t="s">
        <v>330</v>
      </c>
      <c r="E38" s="72" t="s">
        <v>53</v>
      </c>
      <c r="F38" s="73"/>
      <c r="G38" s="74">
        <v>1</v>
      </c>
      <c r="H38" s="74"/>
      <c r="I38" s="74">
        <f>Inventory_List_Table[[#This Row],[Main Stock]]+Inventory_List_Table[[#This Row],[Chicken Stock]]</f>
        <v>1</v>
      </c>
      <c r="J38" s="75"/>
      <c r="K38" s="76">
        <f>Inventory_List_Table[[#This Row],[Total Stock]]+Inventory_List_Table[[#This Row],[Inventory purchased]]</f>
        <v>1</v>
      </c>
      <c r="L38" s="77"/>
      <c r="M38" s="78">
        <f>Inventory_List_Table[[#This Row],[Total Inventry]]-Inventory_List_Table[[#This Row],[Inventry Consumed]]</f>
        <v>1</v>
      </c>
    </row>
    <row r="39" spans="2:13" ht="24" customHeight="1">
      <c r="B39" s="55"/>
      <c r="C39" s="31" t="s">
        <v>252</v>
      </c>
      <c r="D39" s="36" t="s">
        <v>331</v>
      </c>
      <c r="E39" s="37" t="s">
        <v>73</v>
      </c>
      <c r="F39" s="33"/>
      <c r="G39" s="34">
        <v>2</v>
      </c>
      <c r="H39" s="34"/>
      <c r="I39" s="34">
        <f>Inventory_List_Table[[#This Row],[Main Stock]]+Inventory_List_Table[[#This Row],[Chicken Stock]]</f>
        <v>2</v>
      </c>
      <c r="J39" s="35"/>
      <c r="K39" s="65">
        <f>Inventory_List_Table[[#This Row],[Total Stock]]+Inventory_List_Table[[#This Row],[Inventory purchased]]</f>
        <v>2</v>
      </c>
      <c r="L39" s="66"/>
      <c r="M39" s="67">
        <f>Inventory_List_Table[[#This Row],[Total Inventry]]-Inventory_List_Table[[#This Row],[Inventry Consumed]]</f>
        <v>2</v>
      </c>
    </row>
    <row r="40" spans="2:13" ht="24" customHeight="1">
      <c r="B40" s="55"/>
      <c r="C40" s="31" t="s">
        <v>253</v>
      </c>
      <c r="D40" s="39" t="s">
        <v>162</v>
      </c>
      <c r="E40" s="31" t="s">
        <v>73</v>
      </c>
      <c r="F40" s="33"/>
      <c r="G40" s="34"/>
      <c r="H40" s="34">
        <v>20</v>
      </c>
      <c r="I40" s="34">
        <f>Inventory_List_Table[[#This Row],[Main Stock]]+Inventory_List_Table[[#This Row],[Chicken Stock]]</f>
        <v>20</v>
      </c>
      <c r="J40" s="35"/>
      <c r="K40" s="65">
        <f>Inventory_List_Table[[#This Row],[Total Stock]]+Inventory_List_Table[[#This Row],[Inventory purchased]]</f>
        <v>20</v>
      </c>
      <c r="L40" s="66"/>
      <c r="M40" s="67">
        <f>Inventory_List_Table[[#This Row],[Total Inventry]]-Inventory_List_Table[[#This Row],[Inventry Consumed]]</f>
        <v>20</v>
      </c>
    </row>
    <row r="41" spans="2:13" ht="24" customHeight="1">
      <c r="B41" s="55"/>
      <c r="C41" s="31" t="s">
        <v>254</v>
      </c>
      <c r="D41" s="39" t="s">
        <v>163</v>
      </c>
      <c r="E41" s="31" t="s">
        <v>73</v>
      </c>
      <c r="F41" s="33"/>
      <c r="G41" s="34">
        <v>10</v>
      </c>
      <c r="H41" s="34">
        <v>8</v>
      </c>
      <c r="I41" s="34">
        <f>Inventory_List_Table[[#This Row],[Main Stock]]+Inventory_List_Table[[#This Row],[Chicken Stock]]</f>
        <v>18</v>
      </c>
      <c r="J41" s="35"/>
      <c r="K41" s="65">
        <f>Inventory_List_Table[[#This Row],[Total Stock]]+Inventory_List_Table[[#This Row],[Inventory purchased]]</f>
        <v>18</v>
      </c>
      <c r="L41" s="66"/>
      <c r="M41" s="67">
        <f>Inventory_List_Table[[#This Row],[Total Inventry]]-Inventory_List_Table[[#This Row],[Inventry Consumed]]</f>
        <v>18</v>
      </c>
    </row>
    <row r="42" spans="2:13" ht="24" customHeight="1">
      <c r="B42" s="55"/>
      <c r="C42" s="31" t="s">
        <v>255</v>
      </c>
      <c r="D42" s="39" t="s">
        <v>164</v>
      </c>
      <c r="E42" s="31" t="s">
        <v>73</v>
      </c>
      <c r="F42" s="33"/>
      <c r="G42" s="34">
        <v>5</v>
      </c>
      <c r="H42" s="34"/>
      <c r="I42" s="34">
        <f>Inventory_List_Table[[#This Row],[Main Stock]]+Inventory_List_Table[[#This Row],[Chicken Stock]]</f>
        <v>5</v>
      </c>
      <c r="J42" s="35"/>
      <c r="K42" s="65">
        <f>Inventory_List_Table[[#This Row],[Total Stock]]+Inventory_List_Table[[#This Row],[Inventory purchased]]</f>
        <v>5</v>
      </c>
      <c r="L42" s="66"/>
      <c r="M42" s="67">
        <f>Inventory_List_Table[[#This Row],[Total Inventry]]-Inventory_List_Table[[#This Row],[Inventry Consumed]]</f>
        <v>5</v>
      </c>
    </row>
    <row r="43" spans="2:13" ht="24" customHeight="1">
      <c r="B43" s="55"/>
      <c r="C43" s="31" t="s">
        <v>256</v>
      </c>
      <c r="D43" s="36" t="s">
        <v>165</v>
      </c>
      <c r="E43" s="31" t="s">
        <v>73</v>
      </c>
      <c r="F43" s="33"/>
      <c r="G43" s="34">
        <v>2</v>
      </c>
      <c r="H43" s="34"/>
      <c r="I43" s="34">
        <f>Inventory_List_Table[[#This Row],[Main Stock]]+Inventory_List_Table[[#This Row],[Chicken Stock]]</f>
        <v>2</v>
      </c>
      <c r="J43" s="35"/>
      <c r="K43" s="65">
        <f>Inventory_List_Table[[#This Row],[Total Stock]]+Inventory_List_Table[[#This Row],[Inventory purchased]]</f>
        <v>2</v>
      </c>
      <c r="L43" s="66"/>
      <c r="M43" s="67">
        <f>Inventory_List_Table[[#This Row],[Total Inventry]]-Inventory_List_Table[[#This Row],[Inventry Consumed]]</f>
        <v>2</v>
      </c>
    </row>
    <row r="44" spans="2:13" ht="24" customHeight="1">
      <c r="B44" s="55"/>
      <c r="C44" s="31" t="s">
        <v>257</v>
      </c>
      <c r="D44" s="32" t="s">
        <v>202</v>
      </c>
      <c r="E44" s="31" t="s">
        <v>73</v>
      </c>
      <c r="F44" s="33"/>
      <c r="G44" s="34">
        <v>5</v>
      </c>
      <c r="H44" s="34">
        <v>4.75</v>
      </c>
      <c r="I44" s="34">
        <f>Inventory_List_Table[[#This Row],[Main Stock]]+Inventory_List_Table[[#This Row],[Chicken Stock]]</f>
        <v>9.75</v>
      </c>
      <c r="J44" s="35"/>
      <c r="K44" s="65">
        <f>Inventory_List_Table[[#This Row],[Total Stock]]+Inventory_List_Table[[#This Row],[Inventory purchased]]</f>
        <v>9.75</v>
      </c>
      <c r="L44" s="66"/>
      <c r="M44" s="67">
        <f>Inventory_List_Table[[#This Row],[Total Inventry]]-Inventory_List_Table[[#This Row],[Inventry Consumed]]</f>
        <v>9.75</v>
      </c>
    </row>
    <row r="45" spans="2:13" ht="24" customHeight="1">
      <c r="B45" s="55"/>
      <c r="C45" s="31" t="s">
        <v>258</v>
      </c>
      <c r="D45" s="36" t="s">
        <v>203</v>
      </c>
      <c r="E45" s="31" t="s">
        <v>73</v>
      </c>
      <c r="F45" s="33"/>
      <c r="G45" s="34">
        <v>5</v>
      </c>
      <c r="H45" s="34">
        <v>2.5</v>
      </c>
      <c r="I45" s="34">
        <f>Inventory_List_Table[[#This Row],[Main Stock]]+Inventory_List_Table[[#This Row],[Chicken Stock]]</f>
        <v>7.5</v>
      </c>
      <c r="J45" s="35"/>
      <c r="K45" s="65">
        <f>Inventory_List_Table[[#This Row],[Total Stock]]+Inventory_List_Table[[#This Row],[Inventory purchased]]</f>
        <v>7.5</v>
      </c>
      <c r="L45" s="66"/>
      <c r="M45" s="67">
        <f>Inventory_List_Table[[#This Row],[Total Inventry]]-Inventory_List_Table[[#This Row],[Inventry Consumed]]</f>
        <v>7.5</v>
      </c>
    </row>
    <row r="46" spans="2:13" ht="24" customHeight="1">
      <c r="B46" s="55"/>
      <c r="C46" s="31" t="s">
        <v>259</v>
      </c>
      <c r="D46" s="39" t="s">
        <v>167</v>
      </c>
      <c r="E46" s="31" t="s">
        <v>73</v>
      </c>
      <c r="F46" s="33"/>
      <c r="G46" s="34">
        <v>5</v>
      </c>
      <c r="H46" s="34"/>
      <c r="I46" s="34">
        <f>Inventory_List_Table[[#This Row],[Main Stock]]+Inventory_List_Table[[#This Row],[Chicken Stock]]</f>
        <v>5</v>
      </c>
      <c r="J46" s="35"/>
      <c r="K46" s="65">
        <f>Inventory_List_Table[[#This Row],[Total Stock]]+Inventory_List_Table[[#This Row],[Inventory purchased]]</f>
        <v>5</v>
      </c>
      <c r="L46" s="66"/>
      <c r="M46" s="67">
        <f>Inventory_List_Table[[#This Row],[Total Inventry]]-Inventory_List_Table[[#This Row],[Inventry Consumed]]</f>
        <v>5</v>
      </c>
    </row>
    <row r="47" spans="2:13" ht="24" customHeight="1">
      <c r="B47" s="55"/>
      <c r="C47" s="31" t="s">
        <v>260</v>
      </c>
      <c r="D47" s="39" t="s">
        <v>166</v>
      </c>
      <c r="E47" s="31" t="s">
        <v>73</v>
      </c>
      <c r="F47" s="33"/>
      <c r="G47" s="34"/>
      <c r="H47" s="34"/>
      <c r="I47" s="34">
        <f>Inventory_List_Table[[#This Row],[Main Stock]]+Inventory_List_Table[[#This Row],[Chicken Stock]]</f>
        <v>0</v>
      </c>
      <c r="J47" s="35"/>
      <c r="K47" s="65">
        <f>Inventory_List_Table[[#This Row],[Total Stock]]+Inventory_List_Table[[#This Row],[Inventory purchased]]</f>
        <v>0</v>
      </c>
      <c r="L47" s="66"/>
      <c r="M47" s="67">
        <f>Inventory_List_Table[[#This Row],[Total Inventry]]-Inventory_List_Table[[#This Row],[Inventry Consumed]]</f>
        <v>0</v>
      </c>
    </row>
    <row r="48" spans="2:13" ht="24" customHeight="1">
      <c r="B48" s="55"/>
      <c r="C48" s="31" t="s">
        <v>261</v>
      </c>
      <c r="D48" s="39" t="s">
        <v>168</v>
      </c>
      <c r="E48" s="31" t="s">
        <v>73</v>
      </c>
      <c r="F48" s="33"/>
      <c r="G48" s="34"/>
      <c r="H48" s="34"/>
      <c r="I48" s="34">
        <f>Inventory_List_Table[[#This Row],[Main Stock]]+Inventory_List_Table[[#This Row],[Chicken Stock]]</f>
        <v>0</v>
      </c>
      <c r="J48" s="35"/>
      <c r="K48" s="65">
        <f>Inventory_List_Table[[#This Row],[Total Stock]]+Inventory_List_Table[[#This Row],[Inventory purchased]]</f>
        <v>0</v>
      </c>
      <c r="L48" s="66"/>
      <c r="M48" s="67">
        <f>Inventory_List_Table[[#This Row],[Total Inventry]]-Inventory_List_Table[[#This Row],[Inventry Consumed]]</f>
        <v>0</v>
      </c>
    </row>
    <row r="49" spans="2:13" ht="24" customHeight="1">
      <c r="B49" s="55"/>
      <c r="C49" s="31" t="s">
        <v>262</v>
      </c>
      <c r="D49" s="30" t="s">
        <v>317</v>
      </c>
      <c r="E49" s="31" t="s">
        <v>73</v>
      </c>
      <c r="F49" s="41"/>
      <c r="G49" s="34">
        <v>10</v>
      </c>
      <c r="H49" s="42"/>
      <c r="I49" s="42">
        <f>Inventory_List_Table[[#This Row],[Main Stock]]+Inventory_List_Table[[#This Row],[Chicken Stock]]</f>
        <v>10</v>
      </c>
      <c r="J49" s="43"/>
      <c r="K49" s="66">
        <f>Inventory_List_Table[[#This Row],[Total Stock]]+Inventory_List_Table[[#This Row],[Inventory purchased]]</f>
        <v>10</v>
      </c>
      <c r="L49" s="66"/>
      <c r="M49" s="67">
        <f>Inventory_List_Table[[#This Row],[Total Inventry]]-Inventory_List_Table[[#This Row],[Inventry Consumed]]</f>
        <v>10</v>
      </c>
    </row>
    <row r="50" spans="2:13" ht="24" customHeight="1">
      <c r="B50" s="55"/>
      <c r="C50" s="31" t="s">
        <v>263</v>
      </c>
      <c r="D50" s="39" t="s">
        <v>315</v>
      </c>
      <c r="E50" s="31" t="s">
        <v>73</v>
      </c>
      <c r="F50" s="33"/>
      <c r="G50" s="34"/>
      <c r="H50" s="34">
        <v>0.6</v>
      </c>
      <c r="I50" s="34">
        <f>Inventory_List_Table[[#This Row],[Main Stock]]+Inventory_List_Table[[#This Row],[Chicken Stock]]</f>
        <v>0.6</v>
      </c>
      <c r="J50" s="35"/>
      <c r="K50" s="65">
        <f>Inventory_List_Table[[#This Row],[Total Stock]]+Inventory_List_Table[[#This Row],[Inventory purchased]]</f>
        <v>0.6</v>
      </c>
      <c r="L50" s="66"/>
      <c r="M50" s="67">
        <f>Inventory_List_Table[[#This Row],[Total Inventry]]-Inventory_List_Table[[#This Row],[Inventry Consumed]]</f>
        <v>0.6</v>
      </c>
    </row>
    <row r="51" spans="2:13" ht="24" customHeight="1">
      <c r="B51" s="55"/>
      <c r="C51" s="31" t="s">
        <v>264</v>
      </c>
      <c r="D51" s="39" t="s">
        <v>319</v>
      </c>
      <c r="E51" s="31" t="s">
        <v>73</v>
      </c>
      <c r="F51" s="41"/>
      <c r="G51" s="43"/>
      <c r="H51" s="42"/>
      <c r="I51" s="42">
        <f>Inventory_List_Table[[#This Row],[Main Stock]]+Inventory_List_Table[[#This Row],[Chicken Stock]]</f>
        <v>0</v>
      </c>
      <c r="J51" s="43"/>
      <c r="K51" s="66">
        <f>Inventory_List_Table[[#This Row],[Total Stock]]+Inventory_List_Table[[#This Row],[Inventory purchased]]</f>
        <v>0</v>
      </c>
      <c r="L51" s="66"/>
      <c r="M51" s="67">
        <f>Inventory_List_Table[[#This Row],[Total Inventry]]-Inventory_List_Table[[#This Row],[Inventry Consumed]]</f>
        <v>0</v>
      </c>
    </row>
    <row r="52" spans="2:13" ht="24" customHeight="1">
      <c r="B52" s="55"/>
      <c r="C52" s="31" t="s">
        <v>265</v>
      </c>
      <c r="D52" s="39" t="s">
        <v>178</v>
      </c>
      <c r="E52" s="31" t="s">
        <v>73</v>
      </c>
      <c r="F52" s="33"/>
      <c r="G52" s="34">
        <v>25</v>
      </c>
      <c r="H52" s="34">
        <v>14</v>
      </c>
      <c r="I52" s="34">
        <f>Inventory_List_Table[[#This Row],[Main Stock]]+Inventory_List_Table[[#This Row],[Chicken Stock]]</f>
        <v>39</v>
      </c>
      <c r="J52" s="35"/>
      <c r="K52" s="65">
        <f>Inventory_List_Table[[#This Row],[Total Stock]]+Inventory_List_Table[[#This Row],[Inventory purchased]]</f>
        <v>39</v>
      </c>
      <c r="L52" s="66"/>
      <c r="M52" s="67">
        <f>Inventory_List_Table[[#This Row],[Total Inventry]]-Inventory_List_Table[[#This Row],[Inventry Consumed]]</f>
        <v>39</v>
      </c>
    </row>
    <row r="53" spans="2:13" ht="24" customHeight="1">
      <c r="B53" s="55"/>
      <c r="C53" s="31" t="s">
        <v>266</v>
      </c>
      <c r="D53" s="39" t="s">
        <v>188</v>
      </c>
      <c r="E53" s="31" t="s">
        <v>73</v>
      </c>
      <c r="F53" s="33"/>
      <c r="G53" s="34"/>
      <c r="H53" s="34"/>
      <c r="I53" s="34">
        <f>Inventory_List_Table[[#This Row],[Main Stock]]+Inventory_List_Table[[#This Row],[Chicken Stock]]</f>
        <v>0</v>
      </c>
      <c r="J53" s="35"/>
      <c r="K53" s="65">
        <f>Inventory_List_Table[[#This Row],[Total Stock]]+Inventory_List_Table[[#This Row],[Inventory purchased]]</f>
        <v>0</v>
      </c>
      <c r="L53" s="66"/>
      <c r="M53" s="67">
        <f>Inventory_List_Table[[#This Row],[Total Inventry]]-Inventory_List_Table[[#This Row],[Inventry Consumed]]</f>
        <v>0</v>
      </c>
    </row>
    <row r="54" spans="2:13" ht="24" customHeight="1">
      <c r="B54" s="55"/>
      <c r="C54" s="31" t="s">
        <v>267</v>
      </c>
      <c r="D54" s="39" t="s">
        <v>320</v>
      </c>
      <c r="E54" s="31" t="s">
        <v>73</v>
      </c>
      <c r="F54" s="33"/>
      <c r="G54" s="34">
        <v>29</v>
      </c>
      <c r="H54" s="34"/>
      <c r="I54" s="34">
        <f>Inventory_List_Table[[#This Row],[Main Stock]]+Inventory_List_Table[[#This Row],[Chicken Stock]]</f>
        <v>29</v>
      </c>
      <c r="J54" s="35"/>
      <c r="K54" s="65">
        <f>Inventory_List_Table[[#This Row],[Total Stock]]+Inventory_List_Table[[#This Row],[Inventory purchased]]</f>
        <v>29</v>
      </c>
      <c r="L54" s="66"/>
      <c r="M54" s="67">
        <f>Inventory_List_Table[[#This Row],[Total Inventry]]-Inventory_List_Table[[#This Row],[Inventry Consumed]]</f>
        <v>29</v>
      </c>
    </row>
    <row r="55" spans="2:13" ht="24" customHeight="1">
      <c r="B55" s="55"/>
      <c r="C55" s="31" t="s">
        <v>268</v>
      </c>
      <c r="D55" s="39" t="s">
        <v>189</v>
      </c>
      <c r="E55" s="31" t="s">
        <v>73</v>
      </c>
      <c r="F55" s="33"/>
      <c r="G55" s="34">
        <v>4</v>
      </c>
      <c r="H55" s="34"/>
      <c r="I55" s="34">
        <f>Inventory_List_Table[[#This Row],[Main Stock]]+Inventory_List_Table[[#This Row],[Chicken Stock]]</f>
        <v>4</v>
      </c>
      <c r="J55" s="35"/>
      <c r="K55" s="65">
        <f>Inventory_List_Table[[#This Row],[Total Stock]]+Inventory_List_Table[[#This Row],[Inventory purchased]]</f>
        <v>4</v>
      </c>
      <c r="L55" s="66"/>
      <c r="M55" s="67">
        <f>Inventory_List_Table[[#This Row],[Total Inventry]]-Inventory_List_Table[[#This Row],[Inventry Consumed]]</f>
        <v>4</v>
      </c>
    </row>
    <row r="56" spans="2:13" ht="24" customHeight="1">
      <c r="B56" s="55"/>
      <c r="C56" s="31" t="s">
        <v>269</v>
      </c>
      <c r="D56" s="31" t="s">
        <v>173</v>
      </c>
      <c r="E56" s="31" t="s">
        <v>73</v>
      </c>
      <c r="F56" s="33"/>
      <c r="G56" s="34">
        <v>50</v>
      </c>
      <c r="H56" s="34"/>
      <c r="I56" s="34">
        <f>Inventory_List_Table[[#This Row],[Main Stock]]+Inventory_List_Table[[#This Row],[Chicken Stock]]</f>
        <v>50</v>
      </c>
      <c r="J56" s="35"/>
      <c r="K56" s="65">
        <f>Inventory_List_Table[[#This Row],[Total Stock]]+Inventory_List_Table[[#This Row],[Inventory purchased]]</f>
        <v>50</v>
      </c>
      <c r="L56" s="66"/>
      <c r="M56" s="67">
        <f>Inventory_List_Table[[#This Row],[Total Inventry]]-Inventory_List_Table[[#This Row],[Inventry Consumed]]</f>
        <v>50</v>
      </c>
    </row>
    <row r="57" spans="2:13" ht="24" customHeight="1">
      <c r="B57" s="55"/>
      <c r="C57" s="31" t="s">
        <v>270</v>
      </c>
      <c r="D57" s="31" t="s">
        <v>174</v>
      </c>
      <c r="E57" s="31" t="s">
        <v>73</v>
      </c>
      <c r="F57" s="33"/>
      <c r="G57" s="34">
        <v>25</v>
      </c>
      <c r="H57" s="34">
        <v>20</v>
      </c>
      <c r="I57" s="34">
        <f>Inventory_List_Table[[#This Row],[Main Stock]]+Inventory_List_Table[[#This Row],[Chicken Stock]]</f>
        <v>45</v>
      </c>
      <c r="J57" s="35"/>
      <c r="K57" s="65">
        <f>Inventory_List_Table[[#This Row],[Total Stock]]+Inventory_List_Table[[#This Row],[Inventory purchased]]</f>
        <v>45</v>
      </c>
      <c r="L57" s="66"/>
      <c r="M57" s="67">
        <f>Inventory_List_Table[[#This Row],[Total Inventry]]-Inventory_List_Table[[#This Row],[Inventry Consumed]]</f>
        <v>45</v>
      </c>
    </row>
    <row r="58" spans="2:13" ht="24" customHeight="1">
      <c r="B58" s="55"/>
      <c r="C58" s="31" t="s">
        <v>271</v>
      </c>
      <c r="D58" s="31" t="s">
        <v>214</v>
      </c>
      <c r="E58" s="31" t="s">
        <v>73</v>
      </c>
      <c r="F58" s="33"/>
      <c r="G58" s="34"/>
      <c r="H58" s="34"/>
      <c r="I58" s="34">
        <f>Inventory_List_Table[[#This Row],[Main Stock]]+Inventory_List_Table[[#This Row],[Chicken Stock]]</f>
        <v>0</v>
      </c>
      <c r="J58" s="35"/>
      <c r="K58" s="65">
        <f>Inventory_List_Table[[#This Row],[Total Stock]]+Inventory_List_Table[[#This Row],[Inventory purchased]]</f>
        <v>0</v>
      </c>
      <c r="L58" s="66"/>
      <c r="M58" s="67">
        <f>Inventory_List_Table[[#This Row],[Total Inventry]]-Inventory_List_Table[[#This Row],[Inventry Consumed]]</f>
        <v>0</v>
      </c>
    </row>
    <row r="59" spans="2:13" ht="24" customHeight="1">
      <c r="B59" s="55"/>
      <c r="C59" s="31" t="s">
        <v>272</v>
      </c>
      <c r="D59" s="31" t="s">
        <v>175</v>
      </c>
      <c r="E59" s="31" t="s">
        <v>73</v>
      </c>
      <c r="F59" s="33"/>
      <c r="G59" s="34"/>
      <c r="H59" s="34">
        <v>11</v>
      </c>
      <c r="I59" s="34">
        <f>Inventory_List_Table[[#This Row],[Main Stock]]+Inventory_List_Table[[#This Row],[Chicken Stock]]</f>
        <v>11</v>
      </c>
      <c r="J59" s="35"/>
      <c r="K59" s="65">
        <f>Inventory_List_Table[[#This Row],[Total Stock]]+Inventory_List_Table[[#This Row],[Inventory purchased]]</f>
        <v>11</v>
      </c>
      <c r="L59" s="66"/>
      <c r="M59" s="67">
        <f>Inventory_List_Table[[#This Row],[Total Inventry]]-Inventory_List_Table[[#This Row],[Inventry Consumed]]</f>
        <v>11</v>
      </c>
    </row>
    <row r="60" spans="2:13" ht="24" customHeight="1">
      <c r="B60" s="55"/>
      <c r="C60" s="31" t="s">
        <v>273</v>
      </c>
      <c r="D60" s="31" t="s">
        <v>176</v>
      </c>
      <c r="E60" s="31" t="s">
        <v>73</v>
      </c>
      <c r="F60" s="33"/>
      <c r="G60" s="34">
        <v>100</v>
      </c>
      <c r="H60" s="34"/>
      <c r="I60" s="34">
        <f>Inventory_List_Table[[#This Row],[Main Stock]]+Inventory_List_Table[[#This Row],[Chicken Stock]]</f>
        <v>100</v>
      </c>
      <c r="J60" s="35"/>
      <c r="K60" s="65">
        <f>Inventory_List_Table[[#This Row],[Total Stock]]+Inventory_List_Table[[#This Row],[Inventory purchased]]</f>
        <v>100</v>
      </c>
      <c r="L60" s="66"/>
      <c r="M60" s="67">
        <f>Inventory_List_Table[[#This Row],[Total Inventry]]-Inventory_List_Table[[#This Row],[Inventry Consumed]]</f>
        <v>100</v>
      </c>
    </row>
    <row r="61" spans="2:13" ht="24" customHeight="1">
      <c r="B61" s="55"/>
      <c r="C61" s="31" t="s">
        <v>274</v>
      </c>
      <c r="D61" s="31" t="s">
        <v>213</v>
      </c>
      <c r="E61" s="31" t="s">
        <v>73</v>
      </c>
      <c r="F61" s="33"/>
      <c r="G61" s="34"/>
      <c r="H61" s="34">
        <v>16</v>
      </c>
      <c r="I61" s="34">
        <f>Inventory_List_Table[[#This Row],[Main Stock]]+Inventory_List_Table[[#This Row],[Chicken Stock]]</f>
        <v>16</v>
      </c>
      <c r="J61" s="35"/>
      <c r="K61" s="65">
        <f>Inventory_List_Table[[#This Row],[Total Stock]]+Inventory_List_Table[[#This Row],[Inventory purchased]]</f>
        <v>16</v>
      </c>
      <c r="L61" s="66"/>
      <c r="M61" s="67">
        <f>Inventory_List_Table[[#This Row],[Total Inventry]]-Inventory_List_Table[[#This Row],[Inventry Consumed]]</f>
        <v>16</v>
      </c>
    </row>
    <row r="62" spans="2:13" ht="24" customHeight="1">
      <c r="B62" s="54"/>
      <c r="C62" s="31" t="s">
        <v>275</v>
      </c>
      <c r="D62" s="40" t="s">
        <v>308</v>
      </c>
      <c r="E62" s="31" t="s">
        <v>73</v>
      </c>
      <c r="F62" s="33"/>
      <c r="G62" s="34">
        <v>2</v>
      </c>
      <c r="H62" s="34"/>
      <c r="I62" s="34">
        <f>Inventory_List_Table[[#This Row],[Main Stock]]+Inventory_List_Table[[#This Row],[Chicken Stock]]</f>
        <v>2</v>
      </c>
      <c r="J62" s="35"/>
      <c r="K62" s="65">
        <f>Inventory_List_Table[[#This Row],[Total Stock]]+Inventory_List_Table[[#This Row],[Inventory purchased]]</f>
        <v>2</v>
      </c>
      <c r="L62" s="66"/>
      <c r="M62" s="67">
        <f>Inventory_List_Table[[#This Row],[Total Inventry]]-Inventory_List_Table[[#This Row],[Inventry Consumed]]</f>
        <v>2</v>
      </c>
    </row>
    <row r="63" spans="2:13" ht="24" customHeight="1">
      <c r="B63" s="55"/>
      <c r="C63" s="31" t="s">
        <v>276</v>
      </c>
      <c r="D63" s="40" t="s">
        <v>314</v>
      </c>
      <c r="E63" s="31" t="s">
        <v>73</v>
      </c>
      <c r="F63" s="33"/>
      <c r="G63" s="34">
        <v>1</v>
      </c>
      <c r="H63" s="34"/>
      <c r="I63" s="34">
        <f>Inventory_List_Table[[#This Row],[Main Stock]]+Inventory_List_Table[[#This Row],[Chicken Stock]]</f>
        <v>1</v>
      </c>
      <c r="J63" s="35"/>
      <c r="K63" s="65">
        <f>Inventory_List_Table[[#This Row],[Total Stock]]+Inventory_List_Table[[#This Row],[Inventory purchased]]</f>
        <v>1</v>
      </c>
      <c r="L63" s="66"/>
      <c r="M63" s="67">
        <f>Inventory_List_Table[[#This Row],[Total Inventry]]-Inventory_List_Table[[#This Row],[Inventry Consumed]]</f>
        <v>1</v>
      </c>
    </row>
    <row r="64" spans="2:13" ht="24" customHeight="1">
      <c r="B64" s="55"/>
      <c r="C64" s="31" t="s">
        <v>277</v>
      </c>
      <c r="D64" s="39" t="s">
        <v>329</v>
      </c>
      <c r="E64" s="31" t="s">
        <v>73</v>
      </c>
      <c r="F64" s="33"/>
      <c r="G64" s="34">
        <v>3</v>
      </c>
      <c r="H64" s="34"/>
      <c r="I64" s="34">
        <f>Inventory_List_Table[[#This Row],[Main Stock]]+Inventory_List_Table[[#This Row],[Chicken Stock]]</f>
        <v>3</v>
      </c>
      <c r="J64" s="35"/>
      <c r="K64" s="65">
        <f>Inventory_List_Table[[#This Row],[Total Stock]]+Inventory_List_Table[[#This Row],[Inventory purchased]]</f>
        <v>3</v>
      </c>
      <c r="L64" s="66"/>
      <c r="M64" s="67">
        <f>Inventory_List_Table[[#This Row],[Total Inventry]]-Inventory_List_Table[[#This Row],[Inventry Consumed]]</f>
        <v>3</v>
      </c>
    </row>
    <row r="65" spans="2:13" ht="24" customHeight="1">
      <c r="B65" s="55"/>
      <c r="C65" s="31" t="s">
        <v>278</v>
      </c>
      <c r="D65" s="39" t="s">
        <v>92</v>
      </c>
      <c r="E65" s="31" t="s">
        <v>93</v>
      </c>
      <c r="F65" s="33"/>
      <c r="G65" s="34">
        <v>0.5</v>
      </c>
      <c r="H65" s="34">
        <v>0.4</v>
      </c>
      <c r="I65" s="34">
        <f>Inventory_List_Table[[#This Row],[Main Stock]]+Inventory_List_Table[[#This Row],[Chicken Stock]]</f>
        <v>0.9</v>
      </c>
      <c r="J65" s="35"/>
      <c r="K65" s="65">
        <f>Inventory_List_Table[[#This Row],[Total Stock]]+Inventory_List_Table[[#This Row],[Inventory purchased]]</f>
        <v>0.9</v>
      </c>
      <c r="L65" s="66"/>
      <c r="M65" s="67">
        <f>Inventory_List_Table[[#This Row],[Total Inventry]]-Inventory_List_Table[[#This Row],[Inventry Consumed]]</f>
        <v>0.9</v>
      </c>
    </row>
    <row r="66" spans="2:13" ht="24" customHeight="1">
      <c r="B66" s="55"/>
      <c r="C66" s="31" t="s">
        <v>279</v>
      </c>
      <c r="D66" s="39" t="s">
        <v>94</v>
      </c>
      <c r="E66" s="31" t="s">
        <v>93</v>
      </c>
      <c r="F66" s="33"/>
      <c r="G66" s="34">
        <v>5</v>
      </c>
      <c r="H66" s="34">
        <v>0.75</v>
      </c>
      <c r="I66" s="34">
        <f>Inventory_List_Table[[#This Row],[Main Stock]]+Inventory_List_Table[[#This Row],[Chicken Stock]]</f>
        <v>5.75</v>
      </c>
      <c r="J66" s="35"/>
      <c r="K66" s="65">
        <f>Inventory_List_Table[[#This Row],[Total Stock]]+Inventory_List_Table[[#This Row],[Inventory purchased]]</f>
        <v>5.75</v>
      </c>
      <c r="L66" s="66"/>
      <c r="M66" s="67">
        <f>Inventory_List_Table[[#This Row],[Total Inventry]]-Inventory_List_Table[[#This Row],[Inventry Consumed]]</f>
        <v>5.75</v>
      </c>
    </row>
    <row r="67" spans="2:13" ht="24" customHeight="1">
      <c r="B67" s="55"/>
      <c r="C67" s="31" t="s">
        <v>280</v>
      </c>
      <c r="D67" s="32" t="s">
        <v>95</v>
      </c>
      <c r="E67" s="31" t="s">
        <v>93</v>
      </c>
      <c r="F67" s="33"/>
      <c r="G67" s="34"/>
      <c r="H67" s="34"/>
      <c r="I67" s="34">
        <f>Inventory_List_Table[[#This Row],[Main Stock]]+Inventory_List_Table[[#This Row],[Chicken Stock]]</f>
        <v>0</v>
      </c>
      <c r="J67" s="35"/>
      <c r="K67" s="65">
        <f>Inventory_List_Table[[#This Row],[Total Stock]]+Inventory_List_Table[[#This Row],[Inventory purchased]]</f>
        <v>0</v>
      </c>
      <c r="L67" s="66"/>
      <c r="M67" s="67">
        <f>Inventory_List_Table[[#This Row],[Total Inventry]]-Inventory_List_Table[[#This Row],[Inventry Consumed]]</f>
        <v>0</v>
      </c>
    </row>
    <row r="68" spans="2:13" ht="24" customHeight="1">
      <c r="B68" s="55"/>
      <c r="C68" s="31" t="s">
        <v>281</v>
      </c>
      <c r="D68" s="39" t="s">
        <v>192</v>
      </c>
      <c r="E68" s="31" t="s">
        <v>93</v>
      </c>
      <c r="F68" s="33"/>
      <c r="G68" s="34"/>
      <c r="H68" s="34">
        <v>1</v>
      </c>
      <c r="I68" s="34">
        <f>Inventory_List_Table[[#This Row],[Main Stock]]+Inventory_List_Table[[#This Row],[Chicken Stock]]</f>
        <v>1</v>
      </c>
      <c r="J68" s="35"/>
      <c r="K68" s="65">
        <f>Inventory_List_Table[[#This Row],[Total Stock]]+Inventory_List_Table[[#This Row],[Inventory purchased]]</f>
        <v>1</v>
      </c>
      <c r="L68" s="66"/>
      <c r="M68" s="67">
        <f>Inventory_List_Table[[#This Row],[Total Inventry]]-Inventory_List_Table[[#This Row],[Inventry Consumed]]</f>
        <v>1</v>
      </c>
    </row>
    <row r="69" spans="2:13" ht="24" customHeight="1">
      <c r="B69" s="55"/>
      <c r="C69" s="31" t="s">
        <v>282</v>
      </c>
      <c r="D69" s="39" t="s">
        <v>193</v>
      </c>
      <c r="E69" s="31" t="s">
        <v>93</v>
      </c>
      <c r="F69" s="33"/>
      <c r="G69" s="34">
        <v>0.97</v>
      </c>
      <c r="H69" s="34">
        <v>1.25</v>
      </c>
      <c r="I69" s="34">
        <f>Inventory_List_Table[[#This Row],[Main Stock]]+Inventory_List_Table[[#This Row],[Chicken Stock]]</f>
        <v>2.2199999999999998</v>
      </c>
      <c r="J69" s="35"/>
      <c r="K69" s="65">
        <f>Inventory_List_Table[[#This Row],[Total Stock]]+Inventory_List_Table[[#This Row],[Inventory purchased]]</f>
        <v>2.2199999999999998</v>
      </c>
      <c r="L69" s="66"/>
      <c r="M69" s="67">
        <f>Inventory_List_Table[[#This Row],[Total Inventry]]-Inventory_List_Table[[#This Row],[Inventry Consumed]]</f>
        <v>2.2199999999999998</v>
      </c>
    </row>
    <row r="70" spans="2:13" ht="24" customHeight="1">
      <c r="B70" s="55"/>
      <c r="C70" s="31" t="s">
        <v>283</v>
      </c>
      <c r="D70" s="39" t="s">
        <v>194</v>
      </c>
      <c r="E70" s="31" t="s">
        <v>93</v>
      </c>
      <c r="F70" s="33"/>
      <c r="G70" s="34"/>
      <c r="H70" s="34">
        <v>0.85</v>
      </c>
      <c r="I70" s="34">
        <f>Inventory_List_Table[[#This Row],[Main Stock]]+Inventory_List_Table[[#This Row],[Chicken Stock]]</f>
        <v>0.85</v>
      </c>
      <c r="J70" s="35"/>
      <c r="K70" s="65">
        <f>Inventory_List_Table[[#This Row],[Total Stock]]+Inventory_List_Table[[#This Row],[Inventory purchased]]</f>
        <v>0.85</v>
      </c>
      <c r="L70" s="66"/>
      <c r="M70" s="67">
        <f>Inventory_List_Table[[#This Row],[Total Inventry]]-Inventory_List_Table[[#This Row],[Inventry Consumed]]</f>
        <v>0.85</v>
      </c>
    </row>
    <row r="71" spans="2:13" ht="24" customHeight="1">
      <c r="B71" s="55"/>
      <c r="C71" s="31" t="s">
        <v>284</v>
      </c>
      <c r="D71" s="36" t="s">
        <v>195</v>
      </c>
      <c r="E71" s="31" t="s">
        <v>93</v>
      </c>
      <c r="F71" s="33"/>
      <c r="G71" s="34">
        <v>2</v>
      </c>
      <c r="H71" s="34"/>
      <c r="I71" s="34">
        <f>Inventory_List_Table[[#This Row],[Main Stock]]+Inventory_List_Table[[#This Row],[Chicken Stock]]</f>
        <v>2</v>
      </c>
      <c r="J71" s="35"/>
      <c r="K71" s="65">
        <f>Inventory_List_Table[[#This Row],[Total Stock]]+Inventory_List_Table[[#This Row],[Inventory purchased]]</f>
        <v>2</v>
      </c>
      <c r="L71" s="66"/>
      <c r="M71" s="67">
        <f>Inventory_List_Table[[#This Row],[Total Inventry]]-Inventory_List_Table[[#This Row],[Inventry Consumed]]</f>
        <v>2</v>
      </c>
    </row>
    <row r="72" spans="2:13" ht="24" customHeight="1">
      <c r="B72" s="55"/>
      <c r="C72" s="31" t="s">
        <v>285</v>
      </c>
      <c r="D72" s="39" t="s">
        <v>196</v>
      </c>
      <c r="E72" s="31" t="s">
        <v>93</v>
      </c>
      <c r="F72" s="33"/>
      <c r="G72" s="34">
        <v>6</v>
      </c>
      <c r="H72" s="34"/>
      <c r="I72" s="34">
        <f>Inventory_List_Table[[#This Row],[Main Stock]]+Inventory_List_Table[[#This Row],[Chicken Stock]]</f>
        <v>6</v>
      </c>
      <c r="J72" s="35"/>
      <c r="K72" s="65">
        <f>Inventory_List_Table[[#This Row],[Total Stock]]+Inventory_List_Table[[#This Row],[Inventory purchased]]</f>
        <v>6</v>
      </c>
      <c r="L72" s="66"/>
      <c r="M72" s="67">
        <f>Inventory_List_Table[[#This Row],[Total Inventry]]-Inventory_List_Table[[#This Row],[Inventry Consumed]]</f>
        <v>6</v>
      </c>
    </row>
    <row r="73" spans="2:13" ht="24" customHeight="1">
      <c r="B73" s="55"/>
      <c r="C73" s="31" t="s">
        <v>286</v>
      </c>
      <c r="D73" s="39" t="s">
        <v>190</v>
      </c>
      <c r="E73" s="31" t="s">
        <v>93</v>
      </c>
      <c r="F73" s="33"/>
      <c r="G73" s="34"/>
      <c r="H73" s="34">
        <v>0.5</v>
      </c>
      <c r="I73" s="34">
        <f>Inventory_List_Table[[#This Row],[Main Stock]]+Inventory_List_Table[[#This Row],[Chicken Stock]]</f>
        <v>0.5</v>
      </c>
      <c r="J73" s="35"/>
      <c r="K73" s="65">
        <f>Inventory_List_Table[[#This Row],[Total Stock]]+Inventory_List_Table[[#This Row],[Inventory purchased]]</f>
        <v>0.5</v>
      </c>
      <c r="L73" s="66"/>
      <c r="M73" s="67">
        <f>Inventory_List_Table[[#This Row],[Total Inventry]]-Inventory_List_Table[[#This Row],[Inventry Consumed]]</f>
        <v>0.5</v>
      </c>
    </row>
    <row r="74" spans="2:13" ht="24" customHeight="1">
      <c r="B74" s="55"/>
      <c r="C74" s="31" t="s">
        <v>287</v>
      </c>
      <c r="D74" s="32" t="s">
        <v>215</v>
      </c>
      <c r="E74" s="31" t="s">
        <v>93</v>
      </c>
      <c r="F74" s="33"/>
      <c r="G74" s="34"/>
      <c r="H74" s="34">
        <v>12.5</v>
      </c>
      <c r="I74" s="34">
        <f>Inventory_List_Table[[#This Row],[Main Stock]]+Inventory_List_Table[[#This Row],[Chicken Stock]]</f>
        <v>12.5</v>
      </c>
      <c r="J74" s="35"/>
      <c r="K74" s="65">
        <f>Inventory_List_Table[[#This Row],[Total Stock]]+Inventory_List_Table[[#This Row],[Inventory purchased]]</f>
        <v>12.5</v>
      </c>
      <c r="L74" s="66"/>
      <c r="M74" s="67">
        <f>Inventory_List_Table[[#This Row],[Total Inventry]]-Inventory_List_Table[[#This Row],[Inventry Consumed]]</f>
        <v>12.5</v>
      </c>
    </row>
    <row r="75" spans="2:13" ht="24" customHeight="1">
      <c r="B75" s="55"/>
      <c r="C75" s="31" t="s">
        <v>288</v>
      </c>
      <c r="D75" s="36" t="s">
        <v>197</v>
      </c>
      <c r="E75" s="31" t="s">
        <v>93</v>
      </c>
      <c r="F75" s="33"/>
      <c r="G75" s="34"/>
      <c r="H75" s="34">
        <v>2</v>
      </c>
      <c r="I75" s="34">
        <f>Inventory_List_Table[[#This Row],[Main Stock]]+Inventory_List_Table[[#This Row],[Chicken Stock]]</f>
        <v>2</v>
      </c>
      <c r="J75" s="35"/>
      <c r="K75" s="65">
        <f>Inventory_List_Table[[#This Row],[Total Stock]]+Inventory_List_Table[[#This Row],[Inventory purchased]]</f>
        <v>2</v>
      </c>
      <c r="L75" s="66"/>
      <c r="M75" s="67">
        <f>Inventory_List_Table[[#This Row],[Total Inventry]]-Inventory_List_Table[[#This Row],[Inventry Consumed]]</f>
        <v>2</v>
      </c>
    </row>
    <row r="76" spans="2:13" ht="24" customHeight="1">
      <c r="B76" s="55"/>
      <c r="C76" s="31" t="s">
        <v>289</v>
      </c>
      <c r="D76" s="32" t="s">
        <v>198</v>
      </c>
      <c r="E76" s="31" t="s">
        <v>93</v>
      </c>
      <c r="F76" s="33"/>
      <c r="G76" s="34">
        <v>4.7</v>
      </c>
      <c r="H76" s="34">
        <v>2.5</v>
      </c>
      <c r="I76" s="34">
        <f>Inventory_List_Table[[#This Row],[Main Stock]]+Inventory_List_Table[[#This Row],[Chicken Stock]]</f>
        <v>7.2</v>
      </c>
      <c r="J76" s="35"/>
      <c r="K76" s="65">
        <f>Inventory_List_Table[[#This Row],[Total Stock]]+Inventory_List_Table[[#This Row],[Inventory purchased]]</f>
        <v>7.2</v>
      </c>
      <c r="L76" s="66"/>
      <c r="M76" s="67">
        <f>Inventory_List_Table[[#This Row],[Total Inventry]]-Inventory_List_Table[[#This Row],[Inventry Consumed]]</f>
        <v>7.2</v>
      </c>
    </row>
    <row r="77" spans="2:13" ht="24" customHeight="1">
      <c r="B77" s="54"/>
      <c r="C77" s="31" t="s">
        <v>290</v>
      </c>
      <c r="D77" s="39" t="s">
        <v>199</v>
      </c>
      <c r="E77" s="31" t="s">
        <v>93</v>
      </c>
      <c r="F77" s="44"/>
      <c r="G77" s="45">
        <v>3</v>
      </c>
      <c r="H77" s="34">
        <v>0.3</v>
      </c>
      <c r="I77" s="34">
        <f>Inventory_List_Table[[#This Row],[Main Stock]]+Inventory_List_Table[[#This Row],[Chicken Stock]]</f>
        <v>3.3</v>
      </c>
      <c r="J77" s="35"/>
      <c r="K77" s="65">
        <f>Inventory_List_Table[[#This Row],[Total Stock]]+Inventory_List_Table[[#This Row],[Inventory purchased]]</f>
        <v>3.3</v>
      </c>
      <c r="L77" s="66"/>
      <c r="M77" s="67">
        <f>Inventory_List_Table[[#This Row],[Total Inventry]]-Inventory_List_Table[[#This Row],[Inventry Consumed]]</f>
        <v>3.3</v>
      </c>
    </row>
    <row r="78" spans="2:13" ht="24" customHeight="1">
      <c r="B78" s="54"/>
      <c r="C78" s="31" t="s">
        <v>291</v>
      </c>
      <c r="D78" s="32" t="s">
        <v>201</v>
      </c>
      <c r="E78" s="31" t="s">
        <v>93</v>
      </c>
      <c r="F78" s="33"/>
      <c r="G78" s="34">
        <v>2</v>
      </c>
      <c r="H78" s="34"/>
      <c r="I78" s="34">
        <f>Inventory_List_Table[[#This Row],[Main Stock]]+Inventory_List_Table[[#This Row],[Chicken Stock]]</f>
        <v>2</v>
      </c>
      <c r="J78" s="35"/>
      <c r="K78" s="65">
        <f>Inventory_List_Table[[#This Row],[Total Stock]]+Inventory_List_Table[[#This Row],[Inventory purchased]]</f>
        <v>2</v>
      </c>
      <c r="L78" s="66"/>
      <c r="M78" s="67">
        <f>Inventory_List_Table[[#This Row],[Total Inventry]]-Inventory_List_Table[[#This Row],[Inventry Consumed]]</f>
        <v>2</v>
      </c>
    </row>
    <row r="79" spans="2:13" ht="24" customHeight="1">
      <c r="B79" s="54"/>
      <c r="C79" s="31" t="s">
        <v>292</v>
      </c>
      <c r="D79" s="36" t="s">
        <v>200</v>
      </c>
      <c r="E79" s="31" t="s">
        <v>93</v>
      </c>
      <c r="F79" s="33"/>
      <c r="G79" s="34"/>
      <c r="H79" s="34">
        <v>2</v>
      </c>
      <c r="I79" s="34">
        <f>Inventory_List_Table[[#This Row],[Main Stock]]+Inventory_List_Table[[#This Row],[Chicken Stock]]</f>
        <v>2</v>
      </c>
      <c r="J79" s="35"/>
      <c r="K79" s="65">
        <f>Inventory_List_Table[[#This Row],[Total Stock]]+Inventory_List_Table[[#This Row],[Inventory purchased]]</f>
        <v>2</v>
      </c>
      <c r="L79" s="66"/>
      <c r="M79" s="67">
        <f>Inventory_List_Table[[#This Row],[Total Inventry]]-Inventory_List_Table[[#This Row],[Inventry Consumed]]</f>
        <v>2</v>
      </c>
    </row>
    <row r="80" spans="2:13" ht="24" customHeight="1">
      <c r="B80" s="54"/>
      <c r="C80" s="31" t="s">
        <v>293</v>
      </c>
      <c r="D80" s="39" t="s">
        <v>179</v>
      </c>
      <c r="E80" s="31" t="s">
        <v>93</v>
      </c>
      <c r="F80" s="33"/>
      <c r="G80" s="34">
        <v>1.5</v>
      </c>
      <c r="H80" s="34">
        <v>2</v>
      </c>
      <c r="I80" s="34">
        <f>Inventory_List_Table[[#This Row],[Main Stock]]+Inventory_List_Table[[#This Row],[Chicken Stock]]</f>
        <v>3.5</v>
      </c>
      <c r="J80" s="35"/>
      <c r="K80" s="65">
        <f>Inventory_List_Table[[#This Row],[Total Stock]]+Inventory_List_Table[[#This Row],[Inventory purchased]]</f>
        <v>3.5</v>
      </c>
      <c r="L80" s="66"/>
      <c r="M80" s="67">
        <f>Inventory_List_Table[[#This Row],[Total Inventry]]-Inventory_List_Table[[#This Row],[Inventry Consumed]]</f>
        <v>3.5</v>
      </c>
    </row>
    <row r="81" spans="2:13" ht="24" customHeight="1">
      <c r="B81" s="54"/>
      <c r="C81" s="31" t="s">
        <v>294</v>
      </c>
      <c r="D81" s="36" t="s">
        <v>302</v>
      </c>
      <c r="E81" s="31" t="s">
        <v>93</v>
      </c>
      <c r="F81" s="33"/>
      <c r="G81" s="34">
        <v>1</v>
      </c>
      <c r="H81" s="34"/>
      <c r="I81" s="34">
        <f>Inventory_List_Table[[#This Row],[Main Stock]]+Inventory_List_Table[[#This Row],[Chicken Stock]]</f>
        <v>1</v>
      </c>
      <c r="J81" s="35"/>
      <c r="K81" s="65">
        <f>Inventory_List_Table[[#This Row],[Total Stock]]+Inventory_List_Table[[#This Row],[Inventory purchased]]</f>
        <v>1</v>
      </c>
      <c r="L81" s="66"/>
      <c r="M81" s="67">
        <f>Inventory_List_Table[[#This Row],[Total Inventry]]-Inventory_List_Table[[#This Row],[Inventry Consumed]]</f>
        <v>1</v>
      </c>
    </row>
    <row r="82" spans="2:13" ht="24" customHeight="1">
      <c r="B82" s="54"/>
      <c r="C82" s="31" t="s">
        <v>295</v>
      </c>
      <c r="D82" s="32" t="s">
        <v>183</v>
      </c>
      <c r="E82" s="31" t="s">
        <v>93</v>
      </c>
      <c r="F82" s="33"/>
      <c r="G82" s="34">
        <v>10.5</v>
      </c>
      <c r="H82" s="34"/>
      <c r="I82" s="34">
        <f>Inventory_List_Table[[#This Row],[Main Stock]]+Inventory_List_Table[[#This Row],[Chicken Stock]]</f>
        <v>10.5</v>
      </c>
      <c r="J82" s="35"/>
      <c r="K82" s="65">
        <f>Inventory_List_Table[[#This Row],[Total Stock]]+Inventory_List_Table[[#This Row],[Inventory purchased]]</f>
        <v>10.5</v>
      </c>
      <c r="L82" s="66"/>
      <c r="M82" s="67">
        <f>Inventory_List_Table[[#This Row],[Total Inventry]]-Inventory_List_Table[[#This Row],[Inventry Consumed]]</f>
        <v>10.5</v>
      </c>
    </row>
    <row r="83" spans="2:13" ht="24" customHeight="1">
      <c r="B83" s="54"/>
      <c r="C83" s="31" t="s">
        <v>296</v>
      </c>
      <c r="D83" s="31" t="s">
        <v>184</v>
      </c>
      <c r="E83" s="31" t="s">
        <v>93</v>
      </c>
      <c r="F83" s="33"/>
      <c r="G83" s="34">
        <v>15.5</v>
      </c>
      <c r="H83" s="34">
        <v>3</v>
      </c>
      <c r="I83" s="34">
        <f>Inventory_List_Table[[#This Row],[Main Stock]]+Inventory_List_Table[[#This Row],[Chicken Stock]]</f>
        <v>18.5</v>
      </c>
      <c r="J83" s="35"/>
      <c r="K83" s="65">
        <f>Inventory_List_Table[[#This Row],[Total Stock]]+Inventory_List_Table[[#This Row],[Inventory purchased]]</f>
        <v>18.5</v>
      </c>
      <c r="L83" s="66"/>
      <c r="M83" s="67">
        <f>Inventory_List_Table[[#This Row],[Total Inventry]]-Inventory_List_Table[[#This Row],[Inventry Consumed]]</f>
        <v>18.5</v>
      </c>
    </row>
    <row r="84" spans="2:13" ht="24" customHeight="1">
      <c r="B84" s="54"/>
      <c r="C84" s="31" t="s">
        <v>297</v>
      </c>
      <c r="D84" s="31" t="s">
        <v>191</v>
      </c>
      <c r="E84" s="31" t="s">
        <v>93</v>
      </c>
      <c r="F84" s="33"/>
      <c r="G84" s="34"/>
      <c r="H84" s="34"/>
      <c r="I84" s="34">
        <f>Inventory_List_Table[[#This Row],[Main Stock]]+Inventory_List_Table[[#This Row],[Chicken Stock]]</f>
        <v>0</v>
      </c>
      <c r="J84" s="35"/>
      <c r="K84" s="65">
        <f>Inventory_List_Table[[#This Row],[Total Stock]]+Inventory_List_Table[[#This Row],[Inventory purchased]]</f>
        <v>0</v>
      </c>
      <c r="L84" s="66"/>
      <c r="M84" s="67">
        <f>Inventory_List_Table[[#This Row],[Total Inventry]]-Inventory_List_Table[[#This Row],[Inventry Consumed]]</f>
        <v>0</v>
      </c>
    </row>
    <row r="85" spans="2:13" ht="24" customHeight="1">
      <c r="B85" s="54"/>
      <c r="C85" s="31" t="s">
        <v>298</v>
      </c>
      <c r="D85" s="31" t="s">
        <v>185</v>
      </c>
      <c r="E85" s="31" t="s">
        <v>93</v>
      </c>
      <c r="F85" s="33"/>
      <c r="G85" s="34">
        <v>7</v>
      </c>
      <c r="H85" s="34">
        <v>2</v>
      </c>
      <c r="I85" s="34">
        <f>Inventory_List_Table[[#This Row],[Main Stock]]+Inventory_List_Table[[#This Row],[Chicken Stock]]</f>
        <v>9</v>
      </c>
      <c r="J85" s="35"/>
      <c r="K85" s="65">
        <f>Inventory_List_Table[[#This Row],[Total Stock]]+Inventory_List_Table[[#This Row],[Inventory purchased]]</f>
        <v>9</v>
      </c>
      <c r="L85" s="66"/>
      <c r="M85" s="67">
        <f>Inventory_List_Table[[#This Row],[Total Inventry]]-Inventory_List_Table[[#This Row],[Inventry Consumed]]</f>
        <v>9</v>
      </c>
    </row>
    <row r="86" spans="2:13" ht="24" customHeight="1">
      <c r="B86" s="54"/>
      <c r="C86" s="31" t="s">
        <v>299</v>
      </c>
      <c r="D86" s="31" t="s">
        <v>186</v>
      </c>
      <c r="E86" s="31" t="s">
        <v>93</v>
      </c>
      <c r="F86" s="33"/>
      <c r="G86" s="34">
        <v>1</v>
      </c>
      <c r="H86" s="34">
        <v>1</v>
      </c>
      <c r="I86" s="34">
        <f>Inventory_List_Table[[#This Row],[Main Stock]]+Inventory_List_Table[[#This Row],[Chicken Stock]]</f>
        <v>2</v>
      </c>
      <c r="J86" s="35"/>
      <c r="K86" s="65">
        <f>Inventory_List_Table[[#This Row],[Total Stock]]+Inventory_List_Table[[#This Row],[Inventory purchased]]</f>
        <v>2</v>
      </c>
      <c r="L86" s="66"/>
      <c r="M86" s="67">
        <f>Inventory_List_Table[[#This Row],[Total Inventry]]-Inventory_List_Table[[#This Row],[Inventry Consumed]]</f>
        <v>2</v>
      </c>
    </row>
    <row r="87" spans="2:13" ht="24" customHeight="1">
      <c r="B87" s="54"/>
      <c r="C87" s="31" t="s">
        <v>300</v>
      </c>
      <c r="D87" s="31" t="s">
        <v>187</v>
      </c>
      <c r="E87" s="31" t="s">
        <v>93</v>
      </c>
      <c r="F87" s="33"/>
      <c r="G87" s="34">
        <v>1.5</v>
      </c>
      <c r="H87" s="34">
        <v>0.2</v>
      </c>
      <c r="I87" s="34">
        <f>Inventory_List_Table[[#This Row],[Main Stock]]+Inventory_List_Table[[#This Row],[Chicken Stock]]</f>
        <v>1.7</v>
      </c>
      <c r="J87" s="35"/>
      <c r="K87" s="65">
        <f>Inventory_List_Table[[#This Row],[Total Stock]]+Inventory_List_Table[[#This Row],[Inventory purchased]]</f>
        <v>1.7</v>
      </c>
      <c r="L87" s="66"/>
      <c r="M87" s="67">
        <f>Inventory_List_Table[[#This Row],[Total Inventry]]-Inventory_List_Table[[#This Row],[Inventry Consumed]]</f>
        <v>1.7</v>
      </c>
    </row>
    <row r="88" spans="2:13" ht="24" customHeight="1">
      <c r="B88" s="54"/>
      <c r="C88" s="31" t="s">
        <v>303</v>
      </c>
      <c r="D88" s="31" t="s">
        <v>181</v>
      </c>
      <c r="E88" s="31" t="s">
        <v>93</v>
      </c>
      <c r="F88" s="33"/>
      <c r="G88" s="34">
        <v>1</v>
      </c>
      <c r="H88" s="34">
        <v>0.5</v>
      </c>
      <c r="I88" s="34">
        <f>Inventory_List_Table[[#This Row],[Main Stock]]+Inventory_List_Table[[#This Row],[Chicken Stock]]</f>
        <v>1.5</v>
      </c>
      <c r="J88" s="35"/>
      <c r="K88" s="65">
        <f>Inventory_List_Table[[#This Row],[Total Stock]]+Inventory_List_Table[[#This Row],[Inventory purchased]]</f>
        <v>1.5</v>
      </c>
      <c r="L88" s="66"/>
      <c r="M88" s="67">
        <f>Inventory_List_Table[[#This Row],[Total Inventry]]-Inventory_List_Table[[#This Row],[Inventry Consumed]]</f>
        <v>1.5</v>
      </c>
    </row>
    <row r="89" spans="2:13" ht="24" customHeight="1">
      <c r="B89" s="54"/>
      <c r="C89" s="31" t="s">
        <v>306</v>
      </c>
      <c r="D89" s="39" t="s">
        <v>182</v>
      </c>
      <c r="E89" s="31" t="s">
        <v>93</v>
      </c>
      <c r="F89" s="33"/>
      <c r="G89" s="34">
        <v>0.4</v>
      </c>
      <c r="H89" s="34">
        <v>0.25</v>
      </c>
      <c r="I89" s="34">
        <f>Inventory_List_Table[[#This Row],[Main Stock]]+Inventory_List_Table[[#This Row],[Chicken Stock]]</f>
        <v>0.65</v>
      </c>
      <c r="J89" s="35"/>
      <c r="K89" s="65">
        <f>Inventory_List_Table[[#This Row],[Total Stock]]+Inventory_List_Table[[#This Row],[Inventory purchased]]</f>
        <v>0.65</v>
      </c>
      <c r="L89" s="66"/>
      <c r="M89" s="67">
        <f>Inventory_List_Table[[#This Row],[Total Inventry]]-Inventory_List_Table[[#This Row],[Inventry Consumed]]</f>
        <v>0.65</v>
      </c>
    </row>
    <row r="90" spans="2:13" ht="24" customHeight="1">
      <c r="B90" s="54"/>
      <c r="C90" s="31" t="s">
        <v>309</v>
      </c>
      <c r="D90" s="39" t="s">
        <v>180</v>
      </c>
      <c r="E90" s="31" t="s">
        <v>93</v>
      </c>
      <c r="F90" s="33"/>
      <c r="G90" s="34">
        <v>0.3</v>
      </c>
      <c r="H90" s="34">
        <v>0.1</v>
      </c>
      <c r="I90" s="34">
        <f>Inventory_List_Table[[#This Row],[Main Stock]]+Inventory_List_Table[[#This Row],[Chicken Stock]]</f>
        <v>0.4</v>
      </c>
      <c r="J90" s="35"/>
      <c r="K90" s="65">
        <f>Inventory_List_Table[[#This Row],[Total Stock]]+Inventory_List_Table[[#This Row],[Inventory purchased]]</f>
        <v>0.4</v>
      </c>
      <c r="L90" s="66"/>
      <c r="M90" s="67">
        <f>Inventory_List_Table[[#This Row],[Total Inventry]]-Inventory_List_Table[[#This Row],[Inventry Consumed]]</f>
        <v>0.4</v>
      </c>
    </row>
    <row r="91" spans="2:13" ht="24" customHeight="1">
      <c r="B91" s="54"/>
      <c r="C91" s="31" t="s">
        <v>311</v>
      </c>
      <c r="D91" s="31" t="s">
        <v>123</v>
      </c>
      <c r="E91" s="31" t="s">
        <v>93</v>
      </c>
      <c r="F91" s="33"/>
      <c r="G91" s="34">
        <v>2</v>
      </c>
      <c r="H91" s="34">
        <v>0.6</v>
      </c>
      <c r="I91" s="34">
        <f>Inventory_List_Table[[#This Row],[Main Stock]]+Inventory_List_Table[[#This Row],[Chicken Stock]]</f>
        <v>2.6</v>
      </c>
      <c r="J91" s="35"/>
      <c r="K91" s="65">
        <f>Inventory_List_Table[[#This Row],[Total Stock]]+Inventory_List_Table[[#This Row],[Inventory purchased]]</f>
        <v>2.6</v>
      </c>
      <c r="L91" s="66"/>
      <c r="M91" s="67">
        <f>Inventory_List_Table[[#This Row],[Total Inventry]]-Inventory_List_Table[[#This Row],[Inventry Consumed]]</f>
        <v>2.6</v>
      </c>
    </row>
    <row r="92" spans="2:13" ht="24" customHeight="1">
      <c r="B92" s="54"/>
      <c r="C92" s="31" t="s">
        <v>312</v>
      </c>
      <c r="D92" s="31" t="s">
        <v>204</v>
      </c>
      <c r="E92" s="31" t="s">
        <v>93</v>
      </c>
      <c r="F92" s="33"/>
      <c r="G92" s="34">
        <v>1.7</v>
      </c>
      <c r="H92" s="34"/>
      <c r="I92" s="34">
        <f>Inventory_List_Table[[#This Row],[Main Stock]]+Inventory_List_Table[[#This Row],[Chicken Stock]]</f>
        <v>1.7</v>
      </c>
      <c r="J92" s="35"/>
      <c r="K92" s="65">
        <f>Inventory_List_Table[[#This Row],[Total Stock]]+Inventory_List_Table[[#This Row],[Inventory purchased]]</f>
        <v>1.7</v>
      </c>
      <c r="L92" s="66"/>
      <c r="M92" s="67">
        <f>Inventory_List_Table[[#This Row],[Total Inventry]]-Inventory_List_Table[[#This Row],[Inventry Consumed]]</f>
        <v>1.7</v>
      </c>
    </row>
    <row r="93" spans="2:13" ht="24" customHeight="1">
      <c r="B93" s="54"/>
      <c r="C93" s="31" t="s">
        <v>316</v>
      </c>
      <c r="D93" s="39" t="s">
        <v>31</v>
      </c>
      <c r="E93" s="31" t="s">
        <v>93</v>
      </c>
      <c r="F93" s="33"/>
      <c r="G93" s="34">
        <v>5</v>
      </c>
      <c r="H93" s="34"/>
      <c r="I93" s="34">
        <f>Inventory_List_Table[[#This Row],[Main Stock]]+Inventory_List_Table[[#This Row],[Chicken Stock]]</f>
        <v>5</v>
      </c>
      <c r="J93" s="35"/>
      <c r="K93" s="65">
        <f>Inventory_List_Table[[#This Row],[Total Stock]]+Inventory_List_Table[[#This Row],[Inventory purchased]]</f>
        <v>5</v>
      </c>
      <c r="L93" s="66"/>
      <c r="M93" s="67">
        <f>Inventory_List_Table[[#This Row],[Total Inventry]]-Inventory_List_Table[[#This Row],[Inventry Consumed]]</f>
        <v>5</v>
      </c>
    </row>
    <row r="94" spans="2:13" ht="24" customHeight="1">
      <c r="B94" s="54"/>
      <c r="C94" s="31" t="s">
        <v>318</v>
      </c>
      <c r="D94" s="46" t="s">
        <v>304</v>
      </c>
      <c r="E94" s="31" t="s">
        <v>93</v>
      </c>
      <c r="F94" s="33"/>
      <c r="G94" s="34">
        <v>0.3</v>
      </c>
      <c r="H94" s="34">
        <v>0.2</v>
      </c>
      <c r="I94" s="34">
        <f>Inventory_List_Table[[#This Row],[Main Stock]]+Inventory_List_Table[[#This Row],[Chicken Stock]]</f>
        <v>0.5</v>
      </c>
      <c r="J94" s="35"/>
      <c r="K94" s="65">
        <f>Inventory_List_Table[[#This Row],[Total Stock]]+Inventory_List_Table[[#This Row],[Inventory purchased]]</f>
        <v>0.5</v>
      </c>
      <c r="L94" s="66"/>
      <c r="M94" s="67">
        <f>Inventory_List_Table[[#This Row],[Total Inventry]]-Inventory_List_Table[[#This Row],[Inventry Consumed]]</f>
        <v>0.5</v>
      </c>
    </row>
    <row r="95" spans="2:13" ht="24" customHeight="1">
      <c r="B95" s="54"/>
      <c r="C95" s="31" t="s">
        <v>335</v>
      </c>
      <c r="D95" s="47" t="s">
        <v>305</v>
      </c>
      <c r="E95" s="31" t="s">
        <v>93</v>
      </c>
      <c r="F95" s="33"/>
      <c r="G95" s="34"/>
      <c r="H95" s="34">
        <v>0.15</v>
      </c>
      <c r="I95" s="34">
        <f>Inventory_List_Table[[#This Row],[Main Stock]]+Inventory_List_Table[[#This Row],[Chicken Stock]]</f>
        <v>0.15</v>
      </c>
      <c r="J95" s="35"/>
      <c r="K95" s="65">
        <f>Inventory_List_Table[[#This Row],[Total Stock]]+Inventory_List_Table[[#This Row],[Inventory purchased]]</f>
        <v>0.15</v>
      </c>
      <c r="L95" s="66"/>
      <c r="M95" s="67">
        <f>Inventory_List_Table[[#This Row],[Total Inventry]]-Inventory_List_Table[[#This Row],[Inventry Consumed]]</f>
        <v>0.15</v>
      </c>
    </row>
    <row r="96" spans="2:13" ht="24" customHeight="1">
      <c r="B96" s="54"/>
      <c r="C96" s="31" t="s">
        <v>336</v>
      </c>
      <c r="D96" s="47" t="s">
        <v>310</v>
      </c>
      <c r="E96" s="31" t="s">
        <v>93</v>
      </c>
      <c r="F96" s="33"/>
      <c r="G96" s="34">
        <v>0.25</v>
      </c>
      <c r="H96" s="34"/>
      <c r="I96" s="34">
        <f>Inventory_List_Table[[#This Row],[Main Stock]]+Inventory_List_Table[[#This Row],[Chicken Stock]]</f>
        <v>0.25</v>
      </c>
      <c r="J96" s="35"/>
      <c r="K96" s="65">
        <f>Inventory_List_Table[[#This Row],[Total Stock]]+Inventory_List_Table[[#This Row],[Inventory purchased]]</f>
        <v>0.25</v>
      </c>
      <c r="L96" s="66"/>
      <c r="M96" s="67">
        <f>Inventory_List_Table[[#This Row],[Total Inventry]]-Inventory_List_Table[[#This Row],[Inventry Consumed]]</f>
        <v>0.25</v>
      </c>
    </row>
    <row r="97" spans="2:13" ht="24" customHeight="1" thickBot="1">
      <c r="B97" s="56"/>
      <c r="C97" s="31" t="s">
        <v>337</v>
      </c>
      <c r="D97" s="58" t="s">
        <v>323</v>
      </c>
      <c r="E97" s="57" t="s">
        <v>93</v>
      </c>
      <c r="F97" s="59"/>
      <c r="G97" s="60"/>
      <c r="H97" s="60"/>
      <c r="I97" s="61">
        <f>Inventory_List_Table[[#This Row],[Main Stock]]+Inventory_List_Table[[#This Row],[Chicken Stock]]</f>
        <v>0</v>
      </c>
      <c r="J97" s="62"/>
      <c r="K97" s="68">
        <f>Inventory_List_Table[[#This Row],[Total Stock]]+Inventory_List_Table[[#This Row],[Inventory purchased]]</f>
        <v>0</v>
      </c>
      <c r="L97" s="69"/>
      <c r="M97" s="70">
        <f>Inventory_List_Table[[#This Row],[Total Inventry]]-Inventory_List_Table[[#This Row],[Inventry Consumed]]</f>
        <v>0</v>
      </c>
    </row>
  </sheetData>
  <conditionalFormatting sqref="B4:K97">
    <cfRule type="expression" dxfId="21" priority="13">
      <formula>#REF!="Yes"</formula>
    </cfRule>
    <cfRule type="expression" dxfId="20" priority="14">
      <formula>$B4=1</formula>
    </cfRule>
  </conditionalFormatting>
  <dataValidations xWindow="67" yWindow="628" count="10">
    <dataValidation allowBlank="1" showInputMessage="1" showErrorMessage="1" promptTitle="Inventory List" prompt="&#10;This worksheet tracks inventory for items listed in the inventory list table and contains the ability to highlight and flag those items that are ready to be reordered. Discontinued items have strikethrough formatting and a Yes in the Discontinued column." sqref="A2"/>
    <dataValidation allowBlank="1" showInputMessage="1" showErrorMessage="1" prompt="This is an automated column. &#10;&#10;A flag icon in this column indicates items in the inventory list that are ready to be reordered. Flag icons only appear when a Yes is selected in L2 and the item meets the reorder criteria." sqref="B3"/>
    <dataValidation allowBlank="1" showInputMessage="1" showErrorMessage="1" prompt="Enter the item inventory ID in this column" sqref="C3"/>
    <dataValidation allowBlank="1" showInputMessage="1" showErrorMessage="1" prompt="Enter the name of the item in this column" sqref="D3"/>
    <dataValidation allowBlank="1" showInputMessage="1" showErrorMessage="1" prompt="Enter the quantity in reorder for each item in this column" sqref="K3"/>
    <dataValidation allowBlank="1" showInputMessage="1" showErrorMessage="1" prompt="This is an automated column.&#10;&#10;The inventory value for each item is automatically calculated in this column." sqref="J3"/>
    <dataValidation allowBlank="1" showInputMessage="1" showErrorMessage="1" prompt="Enter the quantity in stock for each item in this column" sqref="G3:I3"/>
    <dataValidation allowBlank="1" showInputMessage="1" showErrorMessage="1" prompt="Enter the unit price of each item in this column" sqref="F3"/>
    <dataValidation allowBlank="1" showInputMessage="1" showErrorMessage="1" prompt="Enter a description of the item in this column" sqref="E3"/>
    <dataValidation allowBlank="1" showInputMessage="1" showErrorMessage="1" promptTitle="Inventory List" prompt="This worksheet tracks inventory for items listed in the inventory list table and contains the ability to highlight and flag those items that are ready to be reordered. Discontinued items have strikethrough formatting and a Yes in the Discontinued column." sqref="A1"/>
  </dataValidations>
  <pageMargins left="0.25" right="0.25" top="0.75" bottom="0.75" header="0.3" footer="0.3"/>
  <pageSetup scale="67"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2"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B4:B97</xm:sqref>
        </x14:conditionalFormatting>
      </x14:conditionalFormattings>
    </ext>
  </extLst>
</worksheet>
</file>

<file path=xl/worksheets/sheet2.xml><?xml version="1.0" encoding="utf-8"?>
<worksheet xmlns="http://schemas.openxmlformats.org/spreadsheetml/2006/main" xmlns:r="http://schemas.openxmlformats.org/officeDocument/2006/relationships">
  <dimension ref="A1:G875"/>
  <sheetViews>
    <sheetView workbookViewId="0">
      <selection activeCell="I10" sqref="I10"/>
    </sheetView>
  </sheetViews>
  <sheetFormatPr defaultColWidth="12.61328125" defaultRowHeight="15"/>
  <cols>
    <col min="1" max="1" width="12.61328125" style="14"/>
    <col min="2" max="2" width="29.3828125" style="14" customWidth="1"/>
    <col min="3" max="3" width="23.23046875" style="14" customWidth="1"/>
    <col min="4" max="4" width="13.61328125" style="14" customWidth="1"/>
    <col min="5" max="25" width="7.61328125" style="14" customWidth="1"/>
    <col min="26" max="16384" width="12.61328125" style="14"/>
  </cols>
  <sheetData>
    <row r="1" spans="1:4" ht="43.5" customHeight="1">
      <c r="A1" s="92" t="s">
        <v>216</v>
      </c>
      <c r="B1" s="93" t="s">
        <v>7</v>
      </c>
      <c r="C1" s="93" t="s">
        <v>8</v>
      </c>
      <c r="D1" s="94" t="s">
        <v>9</v>
      </c>
    </row>
    <row r="2" spans="1:4">
      <c r="A2" s="31" t="s">
        <v>217</v>
      </c>
      <c r="B2" s="32" t="s">
        <v>11</v>
      </c>
      <c r="C2" s="31" t="s">
        <v>12</v>
      </c>
      <c r="D2" s="28" t="s">
        <v>13</v>
      </c>
    </row>
    <row r="3" spans="1:4">
      <c r="A3" s="84" t="s">
        <v>218</v>
      </c>
      <c r="B3" s="36" t="s">
        <v>14</v>
      </c>
      <c r="C3" s="85" t="s">
        <v>12</v>
      </c>
      <c r="D3" s="28" t="s">
        <v>15</v>
      </c>
    </row>
    <row r="4" spans="1:4">
      <c r="A4" s="31" t="s">
        <v>219</v>
      </c>
      <c r="B4" s="32" t="s">
        <v>16</v>
      </c>
      <c r="C4" s="37" t="s">
        <v>12</v>
      </c>
      <c r="D4" s="28" t="s">
        <v>17</v>
      </c>
    </row>
    <row r="5" spans="1:4">
      <c r="A5" s="84" t="s">
        <v>220</v>
      </c>
      <c r="B5" s="32" t="s">
        <v>44</v>
      </c>
      <c r="C5" s="84" t="s">
        <v>45</v>
      </c>
      <c r="D5" s="28" t="s">
        <v>17</v>
      </c>
    </row>
    <row r="6" spans="1:4" ht="15.75" customHeight="1">
      <c r="A6" s="31" t="s">
        <v>221</v>
      </c>
      <c r="B6" s="36" t="s">
        <v>47</v>
      </c>
      <c r="C6" s="31" t="s">
        <v>45</v>
      </c>
      <c r="D6" s="28" t="s">
        <v>46</v>
      </c>
    </row>
    <row r="7" spans="1:4" ht="15.75" customHeight="1">
      <c r="A7" s="84" t="s">
        <v>222</v>
      </c>
      <c r="B7" s="84" t="s">
        <v>51</v>
      </c>
      <c r="C7" s="84" t="s">
        <v>49</v>
      </c>
      <c r="D7" s="28" t="s">
        <v>46</v>
      </c>
    </row>
    <row r="8" spans="1:4" ht="15.75" customHeight="1">
      <c r="A8" s="31" t="s">
        <v>223</v>
      </c>
      <c r="B8" s="37" t="s">
        <v>332</v>
      </c>
      <c r="C8" s="31" t="s">
        <v>53</v>
      </c>
      <c r="D8" s="28" t="s">
        <v>13</v>
      </c>
    </row>
    <row r="9" spans="1:4" ht="18.75" customHeight="1">
      <c r="A9" s="84" t="s">
        <v>224</v>
      </c>
      <c r="B9" s="85" t="s">
        <v>333</v>
      </c>
      <c r="C9" s="84" t="s">
        <v>53</v>
      </c>
      <c r="D9" s="28" t="s">
        <v>13</v>
      </c>
    </row>
    <row r="10" spans="1:4" ht="15.75" customHeight="1">
      <c r="A10" s="31" t="s">
        <v>225</v>
      </c>
      <c r="B10" s="37" t="s">
        <v>334</v>
      </c>
      <c r="C10" s="31" t="s">
        <v>53</v>
      </c>
      <c r="D10" s="28" t="s">
        <v>13</v>
      </c>
    </row>
    <row r="11" spans="1:4" ht="15.75" customHeight="1">
      <c r="A11" s="84" t="s">
        <v>226</v>
      </c>
      <c r="B11" s="86" t="s">
        <v>56</v>
      </c>
      <c r="C11" s="84" t="s">
        <v>53</v>
      </c>
      <c r="D11" s="28" t="s">
        <v>13</v>
      </c>
    </row>
    <row r="12" spans="1:4" ht="15.75" customHeight="1">
      <c r="A12" s="31" t="s">
        <v>227</v>
      </c>
      <c r="B12" s="38" t="s">
        <v>57</v>
      </c>
      <c r="C12" s="31" t="s">
        <v>53</v>
      </c>
      <c r="D12" s="28" t="s">
        <v>13</v>
      </c>
    </row>
    <row r="13" spans="1:4" ht="15.75" customHeight="1">
      <c r="A13" s="84" t="s">
        <v>228</v>
      </c>
      <c r="B13" s="87" t="s">
        <v>58</v>
      </c>
      <c r="C13" s="84" t="s">
        <v>53</v>
      </c>
      <c r="D13" s="28" t="s">
        <v>13</v>
      </c>
    </row>
    <row r="14" spans="1:4" ht="15.75" customHeight="1">
      <c r="A14" s="31" t="s">
        <v>229</v>
      </c>
      <c r="B14" s="39" t="s">
        <v>177</v>
      </c>
      <c r="C14" s="31" t="s">
        <v>53</v>
      </c>
      <c r="D14" s="28" t="s">
        <v>13</v>
      </c>
    </row>
    <row r="15" spans="1:4" ht="15.75" customHeight="1">
      <c r="A15" s="84" t="s">
        <v>230</v>
      </c>
      <c r="B15" s="32" t="s">
        <v>205</v>
      </c>
      <c r="C15" s="84" t="s">
        <v>53</v>
      </c>
      <c r="D15" s="28" t="s">
        <v>15</v>
      </c>
    </row>
    <row r="16" spans="1:4" ht="15.75" customHeight="1">
      <c r="A16" s="31" t="s">
        <v>231</v>
      </c>
      <c r="B16" s="38" t="s">
        <v>52</v>
      </c>
      <c r="C16" s="31" t="s">
        <v>53</v>
      </c>
      <c r="D16" s="28" t="s">
        <v>17</v>
      </c>
    </row>
    <row r="17" spans="1:4" ht="15.75" customHeight="1">
      <c r="A17" s="84" t="s">
        <v>232</v>
      </c>
      <c r="B17" s="87" t="s">
        <v>63</v>
      </c>
      <c r="C17" s="84" t="s">
        <v>53</v>
      </c>
      <c r="D17" s="28" t="s">
        <v>17</v>
      </c>
    </row>
    <row r="18" spans="1:4" ht="15.75" customHeight="1">
      <c r="A18" s="31" t="s">
        <v>233</v>
      </c>
      <c r="B18" s="39" t="s">
        <v>64</v>
      </c>
      <c r="C18" s="31" t="s">
        <v>53</v>
      </c>
      <c r="D18" s="28" t="s">
        <v>17</v>
      </c>
    </row>
    <row r="19" spans="1:4" ht="15.75" customHeight="1">
      <c r="A19" s="84" t="s">
        <v>234</v>
      </c>
      <c r="B19" s="87" t="s">
        <v>65</v>
      </c>
      <c r="C19" s="84" t="s">
        <v>53</v>
      </c>
      <c r="D19" s="28" t="s">
        <v>46</v>
      </c>
    </row>
    <row r="20" spans="1:4" ht="15.75" customHeight="1">
      <c r="A20" s="31" t="s">
        <v>235</v>
      </c>
      <c r="B20" s="39" t="s">
        <v>67</v>
      </c>
      <c r="C20" s="31" t="s">
        <v>53</v>
      </c>
      <c r="D20" s="28" t="s">
        <v>46</v>
      </c>
    </row>
    <row r="21" spans="1:4" ht="15.75" customHeight="1">
      <c r="A21" s="84" t="s">
        <v>236</v>
      </c>
      <c r="B21" s="87" t="s">
        <v>206</v>
      </c>
      <c r="C21" s="84" t="s">
        <v>53</v>
      </c>
      <c r="D21" s="28" t="s">
        <v>69</v>
      </c>
    </row>
    <row r="22" spans="1:4" ht="15.75" customHeight="1">
      <c r="A22" s="31" t="s">
        <v>237</v>
      </c>
      <c r="B22" s="39" t="s">
        <v>169</v>
      </c>
      <c r="C22" s="31" t="s">
        <v>53</v>
      </c>
      <c r="D22" s="28" t="s">
        <v>69</v>
      </c>
    </row>
    <row r="23" spans="1:4" ht="15.75" customHeight="1">
      <c r="A23" s="84" t="s">
        <v>238</v>
      </c>
      <c r="B23" s="32" t="s">
        <v>170</v>
      </c>
      <c r="C23" s="84" t="s">
        <v>53</v>
      </c>
      <c r="D23" s="28" t="s">
        <v>69</v>
      </c>
    </row>
    <row r="24" spans="1:4" ht="15.75" customHeight="1">
      <c r="A24" s="31" t="s">
        <v>239</v>
      </c>
      <c r="B24" s="38" t="s">
        <v>171</v>
      </c>
      <c r="C24" s="31" t="s">
        <v>53</v>
      </c>
      <c r="D24" s="28" t="s">
        <v>69</v>
      </c>
    </row>
    <row r="25" spans="1:4" ht="15.75" customHeight="1">
      <c r="A25" s="84" t="s">
        <v>240</v>
      </c>
      <c r="B25" s="87" t="s">
        <v>172</v>
      </c>
      <c r="C25" s="84" t="s">
        <v>53</v>
      </c>
      <c r="D25" s="28" t="s">
        <v>13</v>
      </c>
    </row>
    <row r="26" spans="1:4" ht="15.75" customHeight="1">
      <c r="A26" s="31" t="s">
        <v>241</v>
      </c>
      <c r="B26" s="39" t="s">
        <v>207</v>
      </c>
      <c r="C26" s="31" t="s">
        <v>53</v>
      </c>
      <c r="D26" s="28" t="s">
        <v>13</v>
      </c>
    </row>
    <row r="27" spans="1:4" ht="15.75" customHeight="1">
      <c r="A27" s="84" t="s">
        <v>242</v>
      </c>
      <c r="B27" s="87" t="s">
        <v>208</v>
      </c>
      <c r="C27" s="84" t="s">
        <v>53</v>
      </c>
      <c r="D27" s="28" t="s">
        <v>13</v>
      </c>
    </row>
    <row r="28" spans="1:4" ht="15.75" customHeight="1">
      <c r="A28" s="31" t="s">
        <v>243</v>
      </c>
      <c r="B28" s="39" t="s">
        <v>209</v>
      </c>
      <c r="C28" s="31" t="s">
        <v>53</v>
      </c>
      <c r="D28" s="28" t="s">
        <v>13</v>
      </c>
    </row>
    <row r="29" spans="1:4" ht="15.75" customHeight="1">
      <c r="A29" s="84" t="s">
        <v>244</v>
      </c>
      <c r="B29" s="87" t="s">
        <v>307</v>
      </c>
      <c r="C29" s="84" t="s">
        <v>53</v>
      </c>
      <c r="D29" s="28" t="s">
        <v>13</v>
      </c>
    </row>
    <row r="30" spans="1:4" ht="15.75" customHeight="1">
      <c r="A30" s="31" t="s">
        <v>245</v>
      </c>
      <c r="B30" s="39" t="s">
        <v>210</v>
      </c>
      <c r="C30" s="31" t="s">
        <v>53</v>
      </c>
      <c r="D30" s="28" t="s">
        <v>13</v>
      </c>
    </row>
    <row r="31" spans="1:4" ht="15.75" customHeight="1">
      <c r="A31" s="84" t="s">
        <v>246</v>
      </c>
      <c r="B31" s="87" t="s">
        <v>211</v>
      </c>
      <c r="C31" s="84" t="s">
        <v>53</v>
      </c>
      <c r="D31" s="28" t="s">
        <v>13</v>
      </c>
    </row>
    <row r="32" spans="1:4" ht="15.75" customHeight="1">
      <c r="A32" s="31" t="s">
        <v>247</v>
      </c>
      <c r="B32" s="39" t="s">
        <v>212</v>
      </c>
      <c r="C32" s="31" t="s">
        <v>53</v>
      </c>
      <c r="D32" s="28" t="s">
        <v>13</v>
      </c>
    </row>
    <row r="33" spans="1:4" ht="15.75" customHeight="1">
      <c r="A33" s="84" t="s">
        <v>248</v>
      </c>
      <c r="B33" s="89" t="s">
        <v>313</v>
      </c>
      <c r="C33" s="84" t="s">
        <v>53</v>
      </c>
      <c r="D33" s="28" t="s">
        <v>13</v>
      </c>
    </row>
    <row r="34" spans="1:4" ht="15.75" customHeight="1">
      <c r="A34" s="31" t="s">
        <v>249</v>
      </c>
      <c r="B34" s="31" t="s">
        <v>23</v>
      </c>
      <c r="C34" s="31" t="s">
        <v>53</v>
      </c>
      <c r="D34" s="28" t="s">
        <v>13</v>
      </c>
    </row>
    <row r="35" spans="1:4" ht="15.75" customHeight="1">
      <c r="A35" s="84" t="s">
        <v>250</v>
      </c>
      <c r="B35" s="90" t="s">
        <v>322</v>
      </c>
      <c r="C35" s="84" t="s">
        <v>53</v>
      </c>
      <c r="D35" s="28" t="s">
        <v>13</v>
      </c>
    </row>
    <row r="36" spans="1:4" ht="15.75" customHeight="1">
      <c r="A36" s="31" t="s">
        <v>251</v>
      </c>
      <c r="B36" s="71" t="s">
        <v>330</v>
      </c>
      <c r="C36" s="72" t="s">
        <v>53</v>
      </c>
      <c r="D36" s="28" t="s">
        <v>13</v>
      </c>
    </row>
    <row r="37" spans="1:4" ht="15.75" customHeight="1">
      <c r="A37" s="84" t="s">
        <v>252</v>
      </c>
      <c r="B37" s="36" t="s">
        <v>331</v>
      </c>
      <c r="C37" s="85" t="s">
        <v>73</v>
      </c>
      <c r="D37" s="28" t="s">
        <v>13</v>
      </c>
    </row>
    <row r="38" spans="1:4" ht="15.75" customHeight="1">
      <c r="A38" s="31" t="s">
        <v>253</v>
      </c>
      <c r="B38" s="39" t="s">
        <v>162</v>
      </c>
      <c r="C38" s="31" t="s">
        <v>73</v>
      </c>
      <c r="D38" s="28" t="s">
        <v>13</v>
      </c>
    </row>
    <row r="39" spans="1:4" ht="15.75" customHeight="1">
      <c r="A39" s="84" t="s">
        <v>254</v>
      </c>
      <c r="B39" s="87" t="s">
        <v>163</v>
      </c>
      <c r="C39" s="84" t="s">
        <v>73</v>
      </c>
      <c r="D39" s="28" t="s">
        <v>13</v>
      </c>
    </row>
    <row r="40" spans="1:4" ht="15.75" customHeight="1">
      <c r="A40" s="31" t="s">
        <v>255</v>
      </c>
      <c r="B40" s="39" t="s">
        <v>164</v>
      </c>
      <c r="C40" s="31" t="s">
        <v>73</v>
      </c>
      <c r="D40" s="28" t="s">
        <v>13</v>
      </c>
    </row>
    <row r="41" spans="1:4" ht="15.75" customHeight="1">
      <c r="A41" s="84" t="s">
        <v>256</v>
      </c>
      <c r="B41" s="36" t="s">
        <v>165</v>
      </c>
      <c r="C41" s="84" t="s">
        <v>73</v>
      </c>
      <c r="D41" s="28" t="s">
        <v>13</v>
      </c>
    </row>
    <row r="42" spans="1:4" ht="15.75" customHeight="1">
      <c r="A42" s="31" t="s">
        <v>257</v>
      </c>
      <c r="B42" s="32" t="s">
        <v>202</v>
      </c>
      <c r="C42" s="31" t="s">
        <v>73</v>
      </c>
      <c r="D42" s="28" t="s">
        <v>13</v>
      </c>
    </row>
    <row r="43" spans="1:4" ht="15.75" customHeight="1">
      <c r="A43" s="84" t="s">
        <v>258</v>
      </c>
      <c r="B43" s="36" t="s">
        <v>203</v>
      </c>
      <c r="C43" s="84" t="s">
        <v>73</v>
      </c>
      <c r="D43" s="28" t="s">
        <v>13</v>
      </c>
    </row>
    <row r="44" spans="1:4" ht="15.75" customHeight="1">
      <c r="A44" s="31" t="s">
        <v>259</v>
      </c>
      <c r="B44" s="39" t="s">
        <v>167</v>
      </c>
      <c r="C44" s="31" t="s">
        <v>73</v>
      </c>
      <c r="D44" s="28" t="s">
        <v>13</v>
      </c>
    </row>
    <row r="45" spans="1:4" ht="15.75" customHeight="1">
      <c r="A45" s="84" t="s">
        <v>260</v>
      </c>
      <c r="B45" s="87" t="s">
        <v>166</v>
      </c>
      <c r="C45" s="84" t="s">
        <v>73</v>
      </c>
      <c r="D45" s="28" t="s">
        <v>13</v>
      </c>
    </row>
    <row r="46" spans="1:4" ht="15.75" customHeight="1">
      <c r="A46" s="31" t="s">
        <v>261</v>
      </c>
      <c r="B46" s="39" t="s">
        <v>168</v>
      </c>
      <c r="C46" s="31" t="s">
        <v>73</v>
      </c>
      <c r="D46" s="28" t="s">
        <v>13</v>
      </c>
    </row>
    <row r="47" spans="1:4" ht="15.75" customHeight="1">
      <c r="A47" s="84" t="s">
        <v>262</v>
      </c>
      <c r="B47" s="88" t="s">
        <v>317</v>
      </c>
      <c r="C47" s="84" t="s">
        <v>73</v>
      </c>
      <c r="D47" s="28" t="s">
        <v>13</v>
      </c>
    </row>
    <row r="48" spans="1:4" ht="15.75" customHeight="1">
      <c r="A48" s="31" t="s">
        <v>263</v>
      </c>
      <c r="B48" s="39" t="s">
        <v>315</v>
      </c>
      <c r="C48" s="31" t="s">
        <v>73</v>
      </c>
      <c r="D48" s="28" t="s">
        <v>13</v>
      </c>
    </row>
    <row r="49" spans="1:4" ht="15.75" customHeight="1">
      <c r="A49" s="84" t="s">
        <v>264</v>
      </c>
      <c r="B49" s="87" t="s">
        <v>319</v>
      </c>
      <c r="C49" s="84" t="s">
        <v>73</v>
      </c>
      <c r="D49" s="28" t="s">
        <v>13</v>
      </c>
    </row>
    <row r="50" spans="1:4" ht="15.75" customHeight="1">
      <c r="A50" s="31" t="s">
        <v>265</v>
      </c>
      <c r="B50" s="39" t="s">
        <v>178</v>
      </c>
      <c r="C50" s="31" t="s">
        <v>73</v>
      </c>
      <c r="D50" s="28" t="s">
        <v>13</v>
      </c>
    </row>
    <row r="51" spans="1:4" ht="15.75" customHeight="1">
      <c r="A51" s="84" t="s">
        <v>266</v>
      </c>
      <c r="B51" s="87" t="s">
        <v>188</v>
      </c>
      <c r="C51" s="84" t="s">
        <v>73</v>
      </c>
      <c r="D51" s="28" t="s">
        <v>13</v>
      </c>
    </row>
    <row r="52" spans="1:4" ht="15.75" customHeight="1">
      <c r="A52" s="31" t="s">
        <v>267</v>
      </c>
      <c r="B52" s="39" t="s">
        <v>320</v>
      </c>
      <c r="C52" s="31" t="s">
        <v>73</v>
      </c>
      <c r="D52" s="28" t="s">
        <v>13</v>
      </c>
    </row>
    <row r="53" spans="1:4" ht="15.75" customHeight="1">
      <c r="A53" s="84" t="s">
        <v>268</v>
      </c>
      <c r="B53" s="87" t="s">
        <v>189</v>
      </c>
      <c r="C53" s="84" t="s">
        <v>73</v>
      </c>
      <c r="D53" s="28" t="s">
        <v>13</v>
      </c>
    </row>
    <row r="54" spans="1:4" ht="15.75" customHeight="1">
      <c r="A54" s="31" t="s">
        <v>269</v>
      </c>
      <c r="B54" s="31" t="s">
        <v>173</v>
      </c>
      <c r="C54" s="31" t="s">
        <v>73</v>
      </c>
      <c r="D54" s="28" t="s">
        <v>13</v>
      </c>
    </row>
    <row r="55" spans="1:4" ht="15.75" customHeight="1">
      <c r="A55" s="84" t="s">
        <v>270</v>
      </c>
      <c r="B55" s="84" t="s">
        <v>174</v>
      </c>
      <c r="C55" s="84" t="s">
        <v>73</v>
      </c>
      <c r="D55" s="28" t="s">
        <v>13</v>
      </c>
    </row>
    <row r="56" spans="1:4" ht="15.75" customHeight="1">
      <c r="A56" s="31" t="s">
        <v>271</v>
      </c>
      <c r="B56" s="31" t="s">
        <v>214</v>
      </c>
      <c r="C56" s="31" t="s">
        <v>73</v>
      </c>
      <c r="D56" s="28" t="s">
        <v>13</v>
      </c>
    </row>
    <row r="57" spans="1:4" ht="15.75" customHeight="1">
      <c r="A57" s="84" t="s">
        <v>272</v>
      </c>
      <c r="B57" s="84" t="s">
        <v>175</v>
      </c>
      <c r="C57" s="84" t="s">
        <v>73</v>
      </c>
      <c r="D57" s="28" t="s">
        <v>13</v>
      </c>
    </row>
    <row r="58" spans="1:4" ht="15.75" customHeight="1">
      <c r="A58" s="31" t="s">
        <v>273</v>
      </c>
      <c r="B58" s="31" t="s">
        <v>176</v>
      </c>
      <c r="C58" s="31" t="s">
        <v>73</v>
      </c>
      <c r="D58" s="28" t="s">
        <v>13</v>
      </c>
    </row>
    <row r="59" spans="1:4" ht="15.75" customHeight="1">
      <c r="A59" s="84" t="s">
        <v>274</v>
      </c>
      <c r="B59" s="84" t="s">
        <v>213</v>
      </c>
      <c r="C59" s="84" t="s">
        <v>73</v>
      </c>
      <c r="D59" s="28" t="s">
        <v>13</v>
      </c>
    </row>
    <row r="60" spans="1:4" ht="15.75" customHeight="1">
      <c r="A60" s="31" t="s">
        <v>275</v>
      </c>
      <c r="B60" s="40" t="s">
        <v>308</v>
      </c>
      <c r="C60" s="31" t="s">
        <v>73</v>
      </c>
      <c r="D60" s="28" t="s">
        <v>13</v>
      </c>
    </row>
    <row r="61" spans="1:4" ht="15.75" customHeight="1">
      <c r="A61" s="84" t="s">
        <v>276</v>
      </c>
      <c r="B61" s="89" t="s">
        <v>314</v>
      </c>
      <c r="C61" s="84" t="s">
        <v>73</v>
      </c>
      <c r="D61" s="28" t="s">
        <v>13</v>
      </c>
    </row>
    <row r="62" spans="1:4" ht="15.75" customHeight="1">
      <c r="A62" s="31" t="s">
        <v>277</v>
      </c>
      <c r="B62" s="39" t="s">
        <v>329</v>
      </c>
      <c r="C62" s="31" t="s">
        <v>73</v>
      </c>
      <c r="D62" s="28" t="s">
        <v>13</v>
      </c>
    </row>
    <row r="63" spans="1:4" ht="15.75" customHeight="1">
      <c r="A63" s="84" t="s">
        <v>278</v>
      </c>
      <c r="B63" s="87" t="s">
        <v>92</v>
      </c>
      <c r="C63" s="84" t="s">
        <v>93</v>
      </c>
      <c r="D63" s="28" t="s">
        <v>13</v>
      </c>
    </row>
    <row r="64" spans="1:4" ht="15.75" customHeight="1">
      <c r="A64" s="31" t="s">
        <v>279</v>
      </c>
      <c r="B64" s="39" t="s">
        <v>94</v>
      </c>
      <c r="C64" s="31" t="s">
        <v>93</v>
      </c>
      <c r="D64" s="28" t="s">
        <v>13</v>
      </c>
    </row>
    <row r="65" spans="1:4" ht="15.75" customHeight="1">
      <c r="A65" s="84" t="s">
        <v>280</v>
      </c>
      <c r="B65" s="32" t="s">
        <v>95</v>
      </c>
      <c r="C65" s="84" t="s">
        <v>93</v>
      </c>
      <c r="D65" s="28" t="s">
        <v>13</v>
      </c>
    </row>
    <row r="66" spans="1:4" ht="15.75" customHeight="1">
      <c r="A66" s="31" t="s">
        <v>281</v>
      </c>
      <c r="B66" s="39" t="s">
        <v>192</v>
      </c>
      <c r="C66" s="31" t="s">
        <v>93</v>
      </c>
      <c r="D66" s="28" t="s">
        <v>13</v>
      </c>
    </row>
    <row r="67" spans="1:4" ht="15.75" customHeight="1">
      <c r="A67" s="84" t="s">
        <v>282</v>
      </c>
      <c r="B67" s="87" t="s">
        <v>193</v>
      </c>
      <c r="C67" s="84" t="s">
        <v>93</v>
      </c>
      <c r="D67" s="28" t="s">
        <v>13</v>
      </c>
    </row>
    <row r="68" spans="1:4" ht="15.75" customHeight="1">
      <c r="A68" s="31" t="s">
        <v>283</v>
      </c>
      <c r="B68" s="39" t="s">
        <v>194</v>
      </c>
      <c r="C68" s="31" t="s">
        <v>93</v>
      </c>
      <c r="D68" s="28" t="s">
        <v>13</v>
      </c>
    </row>
    <row r="69" spans="1:4" ht="15.75" customHeight="1">
      <c r="A69" s="84" t="s">
        <v>284</v>
      </c>
      <c r="B69" s="36" t="s">
        <v>195</v>
      </c>
      <c r="C69" s="84" t="s">
        <v>93</v>
      </c>
      <c r="D69" s="28" t="s">
        <v>13</v>
      </c>
    </row>
    <row r="70" spans="1:4" ht="15.75" customHeight="1">
      <c r="A70" s="31" t="s">
        <v>285</v>
      </c>
      <c r="B70" s="39" t="s">
        <v>196</v>
      </c>
      <c r="C70" s="31" t="s">
        <v>93</v>
      </c>
      <c r="D70" s="28" t="s">
        <v>13</v>
      </c>
    </row>
    <row r="71" spans="1:4" ht="15.75" customHeight="1">
      <c r="A71" s="84" t="s">
        <v>286</v>
      </c>
      <c r="B71" s="87" t="s">
        <v>190</v>
      </c>
      <c r="C71" s="84" t="s">
        <v>93</v>
      </c>
      <c r="D71" s="28" t="s">
        <v>13</v>
      </c>
    </row>
    <row r="72" spans="1:4" ht="15.75" customHeight="1">
      <c r="A72" s="31" t="s">
        <v>287</v>
      </c>
      <c r="B72" s="32" t="s">
        <v>215</v>
      </c>
      <c r="C72" s="31" t="s">
        <v>93</v>
      </c>
      <c r="D72" s="28" t="s">
        <v>13</v>
      </c>
    </row>
    <row r="73" spans="1:4" ht="15.75" customHeight="1">
      <c r="A73" s="84" t="s">
        <v>288</v>
      </c>
      <c r="B73" s="36" t="s">
        <v>197</v>
      </c>
      <c r="C73" s="84" t="s">
        <v>93</v>
      </c>
      <c r="D73" s="28" t="s">
        <v>13</v>
      </c>
    </row>
    <row r="74" spans="1:4" ht="15.75" customHeight="1">
      <c r="A74" s="31" t="s">
        <v>289</v>
      </c>
      <c r="B74" s="32" t="s">
        <v>198</v>
      </c>
      <c r="C74" s="31" t="s">
        <v>93</v>
      </c>
      <c r="D74" s="28" t="s">
        <v>13</v>
      </c>
    </row>
    <row r="75" spans="1:4" ht="15.75" customHeight="1">
      <c r="A75" s="84" t="s">
        <v>290</v>
      </c>
      <c r="B75" s="87" t="s">
        <v>199</v>
      </c>
      <c r="C75" s="84" t="s">
        <v>93</v>
      </c>
      <c r="D75" s="28" t="s">
        <v>13</v>
      </c>
    </row>
    <row r="76" spans="1:4" ht="15.75" customHeight="1">
      <c r="A76" s="31" t="s">
        <v>291</v>
      </c>
      <c r="B76" s="32" t="s">
        <v>201</v>
      </c>
      <c r="C76" s="31" t="s">
        <v>93</v>
      </c>
      <c r="D76" s="28" t="s">
        <v>13</v>
      </c>
    </row>
    <row r="77" spans="1:4" ht="15.75" customHeight="1">
      <c r="A77" s="84" t="s">
        <v>292</v>
      </c>
      <c r="B77" s="36" t="s">
        <v>200</v>
      </c>
      <c r="C77" s="84" t="s">
        <v>93</v>
      </c>
      <c r="D77" s="28" t="s">
        <v>13</v>
      </c>
    </row>
    <row r="78" spans="1:4" ht="15.75" customHeight="1">
      <c r="A78" s="31" t="s">
        <v>293</v>
      </c>
      <c r="B78" s="39" t="s">
        <v>179</v>
      </c>
      <c r="C78" s="31" t="s">
        <v>93</v>
      </c>
      <c r="D78" s="28" t="s">
        <v>13</v>
      </c>
    </row>
    <row r="79" spans="1:4" ht="15.75" customHeight="1">
      <c r="A79" s="84" t="s">
        <v>294</v>
      </c>
      <c r="B79" s="36" t="s">
        <v>302</v>
      </c>
      <c r="C79" s="84" t="s">
        <v>93</v>
      </c>
      <c r="D79" s="28" t="s">
        <v>13</v>
      </c>
    </row>
    <row r="80" spans="1:4" ht="15.75" customHeight="1">
      <c r="A80" s="31" t="s">
        <v>295</v>
      </c>
      <c r="B80" s="32" t="s">
        <v>183</v>
      </c>
      <c r="C80" s="31" t="s">
        <v>93</v>
      </c>
      <c r="D80" s="28" t="s">
        <v>13</v>
      </c>
    </row>
    <row r="81" spans="1:7" ht="15.75" customHeight="1">
      <c r="A81" s="84" t="s">
        <v>296</v>
      </c>
      <c r="B81" s="84" t="s">
        <v>184</v>
      </c>
      <c r="C81" s="84" t="s">
        <v>93</v>
      </c>
      <c r="D81" s="28" t="s">
        <v>13</v>
      </c>
    </row>
    <row r="82" spans="1:7" ht="15.75" customHeight="1">
      <c r="A82" s="31" t="s">
        <v>297</v>
      </c>
      <c r="B82" s="31" t="s">
        <v>191</v>
      </c>
      <c r="C82" s="31" t="s">
        <v>93</v>
      </c>
      <c r="D82" s="28" t="s">
        <v>13</v>
      </c>
    </row>
    <row r="83" spans="1:7" ht="15.75" customHeight="1">
      <c r="A83" s="84" t="s">
        <v>298</v>
      </c>
      <c r="B83" s="84" t="s">
        <v>185</v>
      </c>
      <c r="C83" s="84" t="s">
        <v>93</v>
      </c>
      <c r="D83" s="28" t="s">
        <v>13</v>
      </c>
    </row>
    <row r="84" spans="1:7" ht="15.75" customHeight="1">
      <c r="A84" s="31" t="s">
        <v>299</v>
      </c>
      <c r="B84" s="31" t="s">
        <v>186</v>
      </c>
      <c r="C84" s="31" t="s">
        <v>93</v>
      </c>
      <c r="D84" s="28" t="s">
        <v>17</v>
      </c>
    </row>
    <row r="85" spans="1:7" ht="15.75" customHeight="1">
      <c r="A85" s="84" t="s">
        <v>300</v>
      </c>
      <c r="B85" s="84" t="s">
        <v>187</v>
      </c>
      <c r="C85" s="84" t="s">
        <v>93</v>
      </c>
      <c r="D85" s="28" t="s">
        <v>13</v>
      </c>
      <c r="G85" s="26">
        <v>7</v>
      </c>
    </row>
    <row r="86" spans="1:7" ht="15.75" customHeight="1">
      <c r="A86" s="31" t="s">
        <v>303</v>
      </c>
      <c r="B86" s="31" t="s">
        <v>181</v>
      </c>
      <c r="C86" s="31" t="s">
        <v>93</v>
      </c>
      <c r="D86" s="28" t="s">
        <v>13</v>
      </c>
    </row>
    <row r="87" spans="1:7" ht="15.75" customHeight="1">
      <c r="A87" s="84" t="s">
        <v>306</v>
      </c>
      <c r="B87" s="87" t="s">
        <v>182</v>
      </c>
      <c r="C87" s="84" t="s">
        <v>93</v>
      </c>
      <c r="D87" s="29"/>
    </row>
    <row r="88" spans="1:7" ht="15.75" customHeight="1">
      <c r="A88" s="31" t="s">
        <v>309</v>
      </c>
      <c r="B88" s="39" t="s">
        <v>180</v>
      </c>
      <c r="C88" s="31" t="s">
        <v>93</v>
      </c>
      <c r="D88" s="29"/>
    </row>
    <row r="89" spans="1:7" ht="15.75" customHeight="1">
      <c r="A89" s="84" t="s">
        <v>311</v>
      </c>
      <c r="B89" s="84" t="s">
        <v>123</v>
      </c>
      <c r="C89" s="84" t="s">
        <v>93</v>
      </c>
      <c r="D89" s="29"/>
    </row>
    <row r="90" spans="1:7" ht="15.75" customHeight="1">
      <c r="A90" s="31" t="s">
        <v>312</v>
      </c>
      <c r="B90" s="31" t="s">
        <v>204</v>
      </c>
      <c r="C90" s="31" t="s">
        <v>93</v>
      </c>
      <c r="D90" s="29"/>
    </row>
    <row r="91" spans="1:7" ht="15.75" customHeight="1">
      <c r="A91" s="84" t="s">
        <v>316</v>
      </c>
      <c r="B91" s="87" t="s">
        <v>31</v>
      </c>
      <c r="C91" s="84" t="s">
        <v>93</v>
      </c>
      <c r="D91" s="29"/>
    </row>
    <row r="92" spans="1:7" ht="15.75" customHeight="1">
      <c r="A92" s="31" t="s">
        <v>318</v>
      </c>
      <c r="B92" s="46" t="s">
        <v>304</v>
      </c>
      <c r="C92" s="31" t="s">
        <v>93</v>
      </c>
      <c r="D92" s="29"/>
    </row>
    <row r="93" spans="1:7" ht="15.75" customHeight="1">
      <c r="A93" s="84" t="s">
        <v>335</v>
      </c>
      <c r="B93" s="91" t="s">
        <v>305</v>
      </c>
      <c r="C93" s="84" t="s">
        <v>93</v>
      </c>
      <c r="D93" s="29"/>
    </row>
    <row r="94" spans="1:7" ht="15.75" customHeight="1">
      <c r="A94" s="31" t="s">
        <v>336</v>
      </c>
      <c r="B94" s="47" t="s">
        <v>310</v>
      </c>
      <c r="C94" s="31" t="s">
        <v>93</v>
      </c>
      <c r="D94" s="29"/>
    </row>
    <row r="95" spans="1:7" ht="15.75" customHeight="1">
      <c r="A95" s="84" t="s">
        <v>337</v>
      </c>
      <c r="B95" s="90" t="s">
        <v>323</v>
      </c>
      <c r="C95" s="84" t="s">
        <v>93</v>
      </c>
      <c r="D95" s="29"/>
    </row>
    <row r="96" spans="1:7" ht="15.75" customHeight="1">
      <c r="B96" s="27"/>
      <c r="C96" s="27"/>
      <c r="D96" s="27"/>
    </row>
    <row r="97" spans="2:4" ht="15.75" customHeight="1">
      <c r="B97" s="27"/>
      <c r="C97" s="27"/>
      <c r="D97" s="27"/>
    </row>
    <row r="98" spans="2:4" ht="15.75" customHeight="1">
      <c r="B98" s="27"/>
      <c r="C98" s="27"/>
      <c r="D98" s="27"/>
    </row>
    <row r="99" spans="2:4" ht="15.75" customHeight="1">
      <c r="B99" s="27"/>
      <c r="C99" s="27"/>
      <c r="D99" s="27"/>
    </row>
    <row r="100" spans="2:4" ht="15.75" customHeight="1">
      <c r="B100" s="27"/>
      <c r="C100" s="27"/>
      <c r="D100" s="27"/>
    </row>
    <row r="101" spans="2:4" ht="15.75" customHeight="1">
      <c r="B101" s="27"/>
      <c r="C101" s="27"/>
      <c r="D101" s="27"/>
    </row>
    <row r="102" spans="2:4" ht="15.75" customHeight="1">
      <c r="B102" s="27"/>
      <c r="C102" s="27"/>
      <c r="D102" s="27"/>
    </row>
    <row r="103" spans="2:4" ht="15.75" customHeight="1">
      <c r="B103" s="27"/>
      <c r="C103" s="27"/>
      <c r="D103" s="27"/>
    </row>
    <row r="104" spans="2:4" ht="15.75" customHeight="1">
      <c r="B104" s="27"/>
      <c r="C104" s="27"/>
      <c r="D104" s="27"/>
    </row>
    <row r="105" spans="2:4" ht="15.75" customHeight="1">
      <c r="B105" s="27"/>
      <c r="C105" s="27"/>
      <c r="D105" s="27"/>
    </row>
    <row r="106" spans="2:4" ht="15.75" customHeight="1">
      <c r="B106" s="27"/>
      <c r="C106" s="27"/>
      <c r="D106" s="27"/>
    </row>
    <row r="107" spans="2:4" ht="15.75" customHeight="1">
      <c r="B107" s="27"/>
      <c r="C107" s="27"/>
      <c r="D107" s="27"/>
    </row>
    <row r="108" spans="2:4" ht="15.75" customHeight="1">
      <c r="B108" s="27"/>
      <c r="C108" s="27"/>
      <c r="D108" s="27"/>
    </row>
    <row r="109" spans="2:4" ht="15.75" customHeight="1">
      <c r="B109" s="27"/>
      <c r="C109" s="27"/>
      <c r="D109" s="27"/>
    </row>
    <row r="110" spans="2:4" ht="15.75" customHeight="1">
      <c r="B110" s="27"/>
      <c r="C110" s="27"/>
      <c r="D110" s="27"/>
    </row>
    <row r="111" spans="2:4" ht="15.75" customHeight="1">
      <c r="B111" s="27"/>
      <c r="C111" s="27"/>
      <c r="D111" s="27"/>
    </row>
    <row r="112" spans="2:4" ht="15.75" customHeight="1">
      <c r="B112" s="27"/>
      <c r="C112" s="27"/>
      <c r="D112" s="27"/>
    </row>
    <row r="113" spans="2:4" ht="15.75" customHeight="1">
      <c r="B113" s="27"/>
      <c r="C113" s="27"/>
      <c r="D113" s="27"/>
    </row>
    <row r="114" spans="2:4" ht="15.75" customHeight="1">
      <c r="B114" s="27"/>
      <c r="C114" s="27"/>
      <c r="D114" s="27"/>
    </row>
    <row r="115" spans="2:4" ht="15.75" customHeight="1">
      <c r="B115" s="27"/>
      <c r="C115" s="27"/>
      <c r="D115" s="27"/>
    </row>
    <row r="116" spans="2:4" ht="15.75" customHeight="1">
      <c r="B116" s="27"/>
      <c r="C116" s="27"/>
      <c r="D116" s="27"/>
    </row>
    <row r="117" spans="2:4" ht="15.75" customHeight="1">
      <c r="B117" s="27"/>
      <c r="C117" s="27"/>
      <c r="D117" s="27"/>
    </row>
    <row r="118" spans="2:4" ht="15.75" customHeight="1">
      <c r="B118" s="27"/>
      <c r="C118" s="27"/>
      <c r="D118" s="27"/>
    </row>
    <row r="119" spans="2:4" ht="15.75" customHeight="1">
      <c r="B119" s="27"/>
      <c r="C119" s="27"/>
      <c r="D119" s="27"/>
    </row>
    <row r="120" spans="2:4" ht="15.75" customHeight="1">
      <c r="B120" s="27"/>
      <c r="C120" s="27"/>
      <c r="D120" s="27"/>
    </row>
    <row r="121" spans="2:4" ht="15.75" customHeight="1">
      <c r="B121" s="27"/>
      <c r="C121" s="27"/>
      <c r="D121" s="27"/>
    </row>
    <row r="122" spans="2:4" ht="15.75" customHeight="1">
      <c r="B122" s="27"/>
      <c r="C122" s="27"/>
      <c r="D122" s="27"/>
    </row>
    <row r="123" spans="2:4" ht="15.75" customHeight="1">
      <c r="B123" s="27"/>
      <c r="C123" s="27"/>
      <c r="D123" s="27"/>
    </row>
    <row r="124" spans="2:4" ht="15.75" customHeight="1">
      <c r="B124" s="27"/>
      <c r="C124" s="27"/>
      <c r="D124" s="27"/>
    </row>
    <row r="125" spans="2:4" ht="15.75" customHeight="1">
      <c r="B125" s="27"/>
      <c r="C125" s="27"/>
      <c r="D125" s="27"/>
    </row>
    <row r="126" spans="2:4" ht="15.75" customHeight="1">
      <c r="B126" s="27"/>
      <c r="C126" s="27"/>
      <c r="D126" s="27"/>
    </row>
    <row r="127" spans="2:4" ht="15.75" customHeight="1">
      <c r="B127" s="27"/>
      <c r="C127" s="27"/>
      <c r="D127" s="27"/>
    </row>
    <row r="128" spans="2:4" ht="15.75" customHeight="1">
      <c r="B128" s="27"/>
      <c r="C128" s="27"/>
      <c r="D128" s="27"/>
    </row>
    <row r="129" spans="2:4" ht="15.75" customHeight="1">
      <c r="B129" s="27"/>
      <c r="C129" s="27"/>
      <c r="D129" s="27"/>
    </row>
    <row r="130" spans="2:4" ht="15.75" customHeight="1">
      <c r="B130" s="27"/>
      <c r="C130" s="27"/>
      <c r="D130" s="27"/>
    </row>
    <row r="131" spans="2:4" ht="15.75" customHeight="1">
      <c r="B131" s="27"/>
      <c r="C131" s="27"/>
      <c r="D131" s="27"/>
    </row>
    <row r="132" spans="2:4" ht="15.75" customHeight="1"/>
    <row r="133" spans="2:4" ht="15.75" customHeight="1"/>
    <row r="134" spans="2:4" ht="15.75" customHeight="1"/>
    <row r="135" spans="2:4" ht="15.75" customHeight="1"/>
    <row r="136" spans="2:4" ht="15.75" customHeight="1"/>
    <row r="137" spans="2:4" ht="15.75" customHeight="1"/>
    <row r="138" spans="2:4" ht="15.75" customHeight="1"/>
    <row r="139" spans="2:4" ht="15.75" customHeight="1"/>
    <row r="140" spans="2:4" ht="15.75" customHeight="1"/>
    <row r="141" spans="2:4" ht="15.75" customHeight="1"/>
    <row r="142" spans="2:4" ht="15.75" customHeight="1"/>
    <row r="143" spans="2:4" ht="15.75" customHeight="1"/>
    <row r="144" spans="2: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sheetData>
  <conditionalFormatting sqref="A2:B95">
    <cfRule type="expression" dxfId="5" priority="3">
      <formula>#REF!="Yes"</formula>
    </cfRule>
    <cfRule type="expression" dxfId="4" priority="4">
      <formula>$B2=1</formula>
    </cfRule>
  </conditionalFormatting>
  <conditionalFormatting sqref="C2:C95">
    <cfRule type="expression" dxfId="3" priority="1">
      <formula>#REF!="Yes"</formula>
    </cfRule>
    <cfRule type="expression" dxfId="2" priority="2">
      <formula>$B2=1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00"/>
  <sheetViews>
    <sheetView tabSelected="1" workbookViewId="0">
      <selection activeCell="M8" sqref="M8"/>
    </sheetView>
  </sheetViews>
  <sheetFormatPr defaultColWidth="12.61328125" defaultRowHeight="15"/>
  <cols>
    <col min="1" max="1" width="29.3828125" style="14" customWidth="1"/>
    <col min="2" max="2" width="23.23046875" style="14" hidden="1" customWidth="1"/>
    <col min="3" max="3" width="7.61328125" style="14" hidden="1" customWidth="1"/>
    <col min="4" max="5" width="7.61328125" style="14" customWidth="1"/>
    <col min="6" max="6" width="28.15234375" style="14" bestFit="1" customWidth="1"/>
    <col min="7" max="7" width="16.15234375" style="14" bestFit="1" customWidth="1"/>
    <col min="8" max="8" width="15" style="14" customWidth="1"/>
    <col min="9" max="9" width="4.3828125" style="14" bestFit="1" customWidth="1"/>
    <col min="10" max="26" width="7.61328125" style="14" customWidth="1"/>
    <col min="27" max="16384" width="12.61328125" style="14"/>
  </cols>
  <sheetData>
    <row r="1" spans="1:9" ht="29.5">
      <c r="A1" s="12" t="s">
        <v>7</v>
      </c>
      <c r="B1" s="12" t="s">
        <v>8</v>
      </c>
      <c r="C1" s="12" t="s">
        <v>9</v>
      </c>
      <c r="D1" s="13" t="s">
        <v>10</v>
      </c>
      <c r="F1" s="12" t="s">
        <v>7</v>
      </c>
      <c r="G1" s="12" t="s">
        <v>8</v>
      </c>
      <c r="H1" s="124" t="s">
        <v>9</v>
      </c>
      <c r="I1" s="13" t="s">
        <v>10</v>
      </c>
    </row>
    <row r="2" spans="1:9" ht="16">
      <c r="A2" s="15" t="s">
        <v>11</v>
      </c>
      <c r="B2" s="16" t="s">
        <v>12</v>
      </c>
      <c r="C2" s="17" t="s">
        <v>13</v>
      </c>
      <c r="D2" s="18">
        <v>100</v>
      </c>
      <c r="F2" s="32" t="s">
        <v>11</v>
      </c>
      <c r="G2" s="31" t="s">
        <v>12</v>
      </c>
    </row>
    <row r="3" spans="1:9" ht="16">
      <c r="A3" s="15" t="s">
        <v>14</v>
      </c>
      <c r="B3" s="19" t="s">
        <v>12</v>
      </c>
      <c r="C3" s="17" t="s">
        <v>15</v>
      </c>
      <c r="D3" s="20">
        <v>75</v>
      </c>
      <c r="F3" s="125" t="s">
        <v>14</v>
      </c>
      <c r="G3" s="126" t="s">
        <v>12</v>
      </c>
    </row>
    <row r="4" spans="1:9" ht="16">
      <c r="A4" s="15" t="s">
        <v>16</v>
      </c>
      <c r="B4" s="19" t="s">
        <v>12</v>
      </c>
      <c r="C4" s="17" t="s">
        <v>17</v>
      </c>
      <c r="D4" s="18">
        <v>10</v>
      </c>
      <c r="F4" s="125" t="s">
        <v>16</v>
      </c>
      <c r="G4" s="126" t="s">
        <v>12</v>
      </c>
    </row>
    <row r="5" spans="1:9" ht="16">
      <c r="A5" s="15" t="s">
        <v>18</v>
      </c>
      <c r="B5" s="16" t="s">
        <v>12</v>
      </c>
      <c r="C5" s="17" t="s">
        <v>17</v>
      </c>
      <c r="D5" s="21">
        <v>17</v>
      </c>
      <c r="F5" s="125" t="s">
        <v>44</v>
      </c>
      <c r="G5" s="127" t="s">
        <v>45</v>
      </c>
    </row>
    <row r="6" spans="1:9" ht="16">
      <c r="A6" s="15" t="s">
        <v>19</v>
      </c>
      <c r="B6" s="19" t="s">
        <v>12</v>
      </c>
      <c r="C6" s="17" t="s">
        <v>17</v>
      </c>
      <c r="D6" s="18">
        <v>10</v>
      </c>
      <c r="F6" s="125" t="s">
        <v>47</v>
      </c>
      <c r="G6" s="127" t="s">
        <v>45</v>
      </c>
    </row>
    <row r="7" spans="1:9" ht="16">
      <c r="A7" s="15"/>
      <c r="B7" s="19"/>
      <c r="C7" s="17"/>
      <c r="D7" s="18"/>
      <c r="F7" s="127" t="s">
        <v>51</v>
      </c>
      <c r="G7" s="127" t="s">
        <v>49</v>
      </c>
    </row>
    <row r="8" spans="1:9" ht="16">
      <c r="A8" s="15"/>
      <c r="B8" s="19"/>
      <c r="C8" s="17"/>
      <c r="D8" s="18"/>
      <c r="F8" s="126" t="s">
        <v>332</v>
      </c>
      <c r="G8" s="127" t="s">
        <v>53</v>
      </c>
      <c r="H8" s="14">
        <v>185</v>
      </c>
    </row>
    <row r="9" spans="1:9" ht="16">
      <c r="A9" s="22" t="s">
        <v>20</v>
      </c>
      <c r="B9" s="16" t="s">
        <v>21</v>
      </c>
      <c r="C9" s="17" t="s">
        <v>13</v>
      </c>
      <c r="D9" s="18">
        <v>170</v>
      </c>
      <c r="F9" s="126" t="s">
        <v>333</v>
      </c>
      <c r="G9" s="127" t="s">
        <v>53</v>
      </c>
      <c r="H9" s="14">
        <v>185</v>
      </c>
    </row>
    <row r="10" spans="1:9" ht="16">
      <c r="A10" s="22" t="s">
        <v>22</v>
      </c>
      <c r="B10" s="16" t="s">
        <v>21</v>
      </c>
      <c r="C10" s="17" t="s">
        <v>13</v>
      </c>
      <c r="D10" s="18">
        <v>62</v>
      </c>
      <c r="F10" s="126" t="s">
        <v>334</v>
      </c>
      <c r="G10" s="127" t="s">
        <v>53</v>
      </c>
      <c r="H10" s="14">
        <v>185</v>
      </c>
    </row>
    <row r="11" spans="1:9" ht="16">
      <c r="A11" s="22" t="s">
        <v>23</v>
      </c>
      <c r="B11" s="16" t="s">
        <v>21</v>
      </c>
      <c r="C11" s="17" t="s">
        <v>13</v>
      </c>
      <c r="D11" s="18">
        <v>480</v>
      </c>
      <c r="F11" s="128" t="s">
        <v>56</v>
      </c>
      <c r="G11" s="127" t="s">
        <v>53</v>
      </c>
    </row>
    <row r="12" spans="1:9" ht="16">
      <c r="A12" s="22" t="s">
        <v>24</v>
      </c>
      <c r="B12" s="16" t="s">
        <v>21</v>
      </c>
      <c r="C12" s="17" t="s">
        <v>15</v>
      </c>
      <c r="D12" s="18">
        <v>58</v>
      </c>
      <c r="F12" s="128" t="s">
        <v>57</v>
      </c>
      <c r="G12" s="127" t="s">
        <v>53</v>
      </c>
    </row>
    <row r="13" spans="1:9" ht="16">
      <c r="A13" s="17" t="s">
        <v>25</v>
      </c>
      <c r="B13" s="16" t="s">
        <v>21</v>
      </c>
      <c r="C13" s="17" t="s">
        <v>26</v>
      </c>
      <c r="D13" s="17">
        <v>170</v>
      </c>
      <c r="F13" s="129" t="s">
        <v>58</v>
      </c>
      <c r="G13" s="127" t="s">
        <v>53</v>
      </c>
    </row>
    <row r="14" spans="1:9" ht="16">
      <c r="A14" s="17" t="s">
        <v>27</v>
      </c>
      <c r="B14" s="16" t="s">
        <v>21</v>
      </c>
      <c r="C14" s="17" t="s">
        <v>13</v>
      </c>
      <c r="D14" s="17">
        <v>330</v>
      </c>
      <c r="F14" s="129" t="s">
        <v>177</v>
      </c>
      <c r="G14" s="127" t="s">
        <v>53</v>
      </c>
    </row>
    <row r="15" spans="1:9" ht="16">
      <c r="A15" s="17" t="s">
        <v>28</v>
      </c>
      <c r="B15" s="16" t="s">
        <v>21</v>
      </c>
      <c r="C15" s="17" t="s">
        <v>13</v>
      </c>
      <c r="D15" s="17">
        <v>100</v>
      </c>
      <c r="F15" s="125" t="s">
        <v>205</v>
      </c>
      <c r="G15" s="127" t="s">
        <v>53</v>
      </c>
    </row>
    <row r="16" spans="1:9" ht="16">
      <c r="A16" s="17"/>
      <c r="B16" s="16"/>
      <c r="C16" s="17"/>
      <c r="D16" s="17"/>
      <c r="F16" s="128" t="s">
        <v>52</v>
      </c>
      <c r="G16" s="127" t="s">
        <v>53</v>
      </c>
    </row>
    <row r="17" spans="1:7" ht="16">
      <c r="A17" s="23" t="s">
        <v>29</v>
      </c>
      <c r="B17" s="16" t="s">
        <v>30</v>
      </c>
      <c r="C17" s="17" t="s">
        <v>13</v>
      </c>
      <c r="D17" s="18">
        <v>460</v>
      </c>
      <c r="F17" s="129" t="s">
        <v>63</v>
      </c>
      <c r="G17" s="127" t="s">
        <v>53</v>
      </c>
    </row>
    <row r="18" spans="1:7" ht="16">
      <c r="A18" s="23" t="s">
        <v>31</v>
      </c>
      <c r="B18" s="16" t="s">
        <v>30</v>
      </c>
      <c r="C18" s="17" t="s">
        <v>13</v>
      </c>
      <c r="D18" s="18">
        <v>300</v>
      </c>
      <c r="F18" s="129" t="s">
        <v>64</v>
      </c>
      <c r="G18" s="127" t="s">
        <v>53</v>
      </c>
    </row>
    <row r="19" spans="1:7" ht="16">
      <c r="A19" s="23"/>
      <c r="B19" s="16"/>
      <c r="C19" s="17"/>
      <c r="D19" s="18"/>
      <c r="F19" s="129" t="s">
        <v>65</v>
      </c>
      <c r="G19" s="127" t="s">
        <v>53</v>
      </c>
    </row>
    <row r="20" spans="1:7" ht="16">
      <c r="A20" s="23"/>
      <c r="B20" s="16"/>
      <c r="C20" s="17"/>
      <c r="D20" s="18"/>
      <c r="F20" s="129" t="s">
        <v>67</v>
      </c>
      <c r="G20" s="127" t="s">
        <v>53</v>
      </c>
    </row>
    <row r="21" spans="1:7" ht="15.75" customHeight="1">
      <c r="A21" s="22" t="s">
        <v>32</v>
      </c>
      <c r="B21" s="16" t="s">
        <v>33</v>
      </c>
      <c r="C21" s="17" t="s">
        <v>13</v>
      </c>
      <c r="D21" s="18">
        <v>270</v>
      </c>
      <c r="F21" s="129" t="s">
        <v>206</v>
      </c>
      <c r="G21" s="127" t="s">
        <v>53</v>
      </c>
    </row>
    <row r="22" spans="1:7" ht="15.75" customHeight="1">
      <c r="A22" s="22" t="s">
        <v>34</v>
      </c>
      <c r="B22" s="16" t="s">
        <v>33</v>
      </c>
      <c r="C22" s="17" t="s">
        <v>13</v>
      </c>
      <c r="D22" s="18">
        <v>55</v>
      </c>
      <c r="F22" s="129" t="s">
        <v>169</v>
      </c>
      <c r="G22" s="127" t="s">
        <v>53</v>
      </c>
    </row>
    <row r="23" spans="1:7" ht="15.75" customHeight="1">
      <c r="A23" s="22" t="s">
        <v>35</v>
      </c>
      <c r="B23" s="16" t="s">
        <v>33</v>
      </c>
      <c r="C23" s="17" t="s">
        <v>13</v>
      </c>
      <c r="D23" s="18">
        <v>190</v>
      </c>
      <c r="F23" s="125" t="s">
        <v>170</v>
      </c>
      <c r="G23" s="127" t="s">
        <v>53</v>
      </c>
    </row>
    <row r="24" spans="1:7" ht="15.75" customHeight="1">
      <c r="A24" s="22" t="s">
        <v>36</v>
      </c>
      <c r="B24" s="16" t="s">
        <v>33</v>
      </c>
      <c r="C24" s="17" t="s">
        <v>13</v>
      </c>
      <c r="D24" s="18">
        <v>140</v>
      </c>
      <c r="F24" s="128" t="s">
        <v>171</v>
      </c>
      <c r="G24" s="127" t="s">
        <v>53</v>
      </c>
    </row>
    <row r="25" spans="1:7" ht="15.75" customHeight="1">
      <c r="A25" s="22" t="s">
        <v>37</v>
      </c>
      <c r="B25" s="16" t="s">
        <v>33</v>
      </c>
      <c r="C25" s="17" t="s">
        <v>13</v>
      </c>
      <c r="D25" s="18"/>
      <c r="F25" s="129" t="s">
        <v>172</v>
      </c>
      <c r="G25" s="127" t="s">
        <v>53</v>
      </c>
    </row>
    <row r="26" spans="1:7" ht="15.75" customHeight="1">
      <c r="A26" s="22" t="s">
        <v>38</v>
      </c>
      <c r="B26" s="16" t="s">
        <v>33</v>
      </c>
      <c r="C26" s="17" t="s">
        <v>13</v>
      </c>
      <c r="D26" s="18">
        <v>330</v>
      </c>
      <c r="F26" s="129" t="s">
        <v>207</v>
      </c>
      <c r="G26" s="127" t="s">
        <v>53</v>
      </c>
    </row>
    <row r="27" spans="1:7" ht="15.75" customHeight="1">
      <c r="A27" s="22" t="s">
        <v>39</v>
      </c>
      <c r="B27" s="16" t="s">
        <v>33</v>
      </c>
      <c r="C27" s="17" t="s">
        <v>17</v>
      </c>
      <c r="D27" s="21">
        <v>5.0999999999999996</v>
      </c>
      <c r="F27" s="129" t="s">
        <v>208</v>
      </c>
      <c r="G27" s="127" t="s">
        <v>53</v>
      </c>
    </row>
    <row r="28" spans="1:7" ht="15.75" customHeight="1">
      <c r="A28" s="17" t="s">
        <v>40</v>
      </c>
      <c r="B28" s="16" t="s">
        <v>33</v>
      </c>
      <c r="C28" s="17" t="s">
        <v>13</v>
      </c>
      <c r="D28" s="17">
        <v>450</v>
      </c>
      <c r="F28" s="129" t="s">
        <v>209</v>
      </c>
      <c r="G28" s="127" t="s">
        <v>53</v>
      </c>
    </row>
    <row r="29" spans="1:7" ht="15.75" customHeight="1">
      <c r="A29" s="17" t="s">
        <v>41</v>
      </c>
      <c r="B29" s="16" t="s">
        <v>33</v>
      </c>
      <c r="C29" s="17" t="s">
        <v>13</v>
      </c>
      <c r="D29" s="17">
        <v>480</v>
      </c>
      <c r="F29" s="129" t="s">
        <v>307</v>
      </c>
      <c r="G29" s="127" t="s">
        <v>53</v>
      </c>
    </row>
    <row r="30" spans="1:7" ht="15.75" customHeight="1">
      <c r="A30" s="17" t="s">
        <v>42</v>
      </c>
      <c r="B30" s="16" t="s">
        <v>33</v>
      </c>
      <c r="C30" s="17" t="s">
        <v>13</v>
      </c>
      <c r="D30" s="17">
        <v>830</v>
      </c>
      <c r="F30" s="129" t="s">
        <v>210</v>
      </c>
      <c r="G30" s="127" t="s">
        <v>53</v>
      </c>
    </row>
    <row r="31" spans="1:7" ht="15.75" customHeight="1">
      <c r="A31" s="17" t="s">
        <v>43</v>
      </c>
      <c r="B31" s="16" t="s">
        <v>33</v>
      </c>
      <c r="C31" s="17" t="s">
        <v>13</v>
      </c>
      <c r="D31" s="17">
        <v>200</v>
      </c>
      <c r="F31" s="129" t="s">
        <v>211</v>
      </c>
      <c r="G31" s="127" t="s">
        <v>53</v>
      </c>
    </row>
    <row r="32" spans="1:7" ht="15.75" customHeight="1">
      <c r="A32" s="17"/>
      <c r="B32" s="16"/>
      <c r="C32" s="17"/>
      <c r="D32" s="17"/>
      <c r="F32" s="129" t="s">
        <v>212</v>
      </c>
      <c r="G32" s="127" t="s">
        <v>53</v>
      </c>
    </row>
    <row r="33" spans="1:7" ht="15.75" customHeight="1">
      <c r="A33" s="17"/>
      <c r="B33" s="16"/>
      <c r="C33" s="17"/>
      <c r="D33" s="17"/>
      <c r="F33" s="130" t="s">
        <v>313</v>
      </c>
      <c r="G33" s="127" t="s">
        <v>53</v>
      </c>
    </row>
    <row r="34" spans="1:7" ht="15.75" customHeight="1">
      <c r="A34" s="15" t="s">
        <v>44</v>
      </c>
      <c r="B34" s="16" t="s">
        <v>45</v>
      </c>
      <c r="C34" s="17" t="s">
        <v>46</v>
      </c>
      <c r="D34" s="18">
        <v>70</v>
      </c>
      <c r="F34" s="127" t="s">
        <v>23</v>
      </c>
      <c r="G34" s="127" t="s">
        <v>53</v>
      </c>
    </row>
    <row r="35" spans="1:7" ht="15.75" customHeight="1">
      <c r="A35" s="15" t="s">
        <v>47</v>
      </c>
      <c r="B35" s="16" t="s">
        <v>45</v>
      </c>
      <c r="C35" s="17" t="s">
        <v>46</v>
      </c>
      <c r="D35" s="18">
        <v>60</v>
      </c>
      <c r="F35" s="131" t="s">
        <v>322</v>
      </c>
      <c r="G35" s="127" t="s">
        <v>53</v>
      </c>
    </row>
    <row r="36" spans="1:7" ht="15.75" customHeight="1">
      <c r="A36" s="17" t="s">
        <v>48</v>
      </c>
      <c r="B36" s="17" t="s">
        <v>49</v>
      </c>
      <c r="C36" s="17" t="s">
        <v>13</v>
      </c>
      <c r="D36" s="17">
        <v>50</v>
      </c>
      <c r="F36" s="132" t="s">
        <v>330</v>
      </c>
      <c r="G36" s="133" t="s">
        <v>53</v>
      </c>
    </row>
    <row r="37" spans="1:7" ht="15.75" customHeight="1">
      <c r="A37" s="17" t="s">
        <v>50</v>
      </c>
      <c r="B37" s="17" t="s">
        <v>49</v>
      </c>
      <c r="C37" s="17" t="s">
        <v>13</v>
      </c>
      <c r="D37" s="17">
        <v>50</v>
      </c>
      <c r="F37" s="125" t="s">
        <v>331</v>
      </c>
      <c r="G37" s="126" t="s">
        <v>73</v>
      </c>
    </row>
    <row r="38" spans="1:7" ht="15.75" customHeight="1">
      <c r="A38" s="17" t="s">
        <v>51</v>
      </c>
      <c r="B38" s="17" t="s">
        <v>49</v>
      </c>
      <c r="C38" s="17" t="s">
        <v>13</v>
      </c>
      <c r="D38" s="17">
        <v>50</v>
      </c>
      <c r="F38" s="129" t="s">
        <v>162</v>
      </c>
      <c r="G38" s="127" t="s">
        <v>73</v>
      </c>
    </row>
    <row r="39" spans="1:7" ht="15.75" customHeight="1">
      <c r="A39" s="17"/>
      <c r="B39" s="17"/>
      <c r="C39" s="17"/>
      <c r="D39" s="17"/>
      <c r="F39" s="129" t="s">
        <v>163</v>
      </c>
      <c r="G39" s="127" t="s">
        <v>73</v>
      </c>
    </row>
    <row r="40" spans="1:7" ht="15.75" customHeight="1">
      <c r="A40" s="17"/>
      <c r="B40" s="17"/>
      <c r="C40" s="17"/>
      <c r="D40" s="17"/>
      <c r="F40" s="129" t="s">
        <v>164</v>
      </c>
      <c r="G40" s="127" t="s">
        <v>73</v>
      </c>
    </row>
    <row r="41" spans="1:7" ht="15.75" customHeight="1">
      <c r="A41" s="15" t="s">
        <v>52</v>
      </c>
      <c r="B41" s="16" t="s">
        <v>53</v>
      </c>
      <c r="C41" s="17" t="s">
        <v>13</v>
      </c>
      <c r="D41" s="18">
        <v>650</v>
      </c>
      <c r="F41" s="125" t="s">
        <v>165</v>
      </c>
      <c r="G41" s="127" t="s">
        <v>73</v>
      </c>
    </row>
    <row r="42" spans="1:7" ht="15.75" customHeight="1">
      <c r="A42" s="23" t="s">
        <v>54</v>
      </c>
      <c r="B42" s="16" t="s">
        <v>53</v>
      </c>
      <c r="C42" s="17" t="s">
        <v>13</v>
      </c>
      <c r="D42" s="18">
        <v>30</v>
      </c>
      <c r="F42" s="125" t="s">
        <v>202</v>
      </c>
      <c r="G42" s="127" t="s">
        <v>73</v>
      </c>
    </row>
    <row r="43" spans="1:7" ht="18.75" customHeight="1">
      <c r="A43" s="19" t="s">
        <v>55</v>
      </c>
      <c r="B43" s="16" t="s">
        <v>53</v>
      </c>
      <c r="C43" s="17" t="s">
        <v>13</v>
      </c>
      <c r="D43" s="18">
        <v>50</v>
      </c>
      <c r="F43" s="125" t="s">
        <v>203</v>
      </c>
      <c r="G43" s="127" t="s">
        <v>73</v>
      </c>
    </row>
    <row r="44" spans="1:7" ht="15.75" customHeight="1">
      <c r="A44" s="22" t="s">
        <v>56</v>
      </c>
      <c r="B44" s="16" t="s">
        <v>53</v>
      </c>
      <c r="C44" s="17" t="s">
        <v>13</v>
      </c>
      <c r="D44" s="18">
        <v>10</v>
      </c>
      <c r="F44" s="129" t="s">
        <v>167</v>
      </c>
      <c r="G44" s="127" t="s">
        <v>73</v>
      </c>
    </row>
    <row r="45" spans="1:7" ht="15.75" customHeight="1">
      <c r="A45" s="22" t="s">
        <v>57</v>
      </c>
      <c r="B45" s="16" t="s">
        <v>53</v>
      </c>
      <c r="C45" s="17" t="s">
        <v>13</v>
      </c>
      <c r="D45" s="18">
        <v>20</v>
      </c>
      <c r="F45" s="129" t="s">
        <v>166</v>
      </c>
      <c r="G45" s="127" t="s">
        <v>73</v>
      </c>
    </row>
    <row r="46" spans="1:7" ht="15.75" customHeight="1">
      <c r="A46" s="23" t="s">
        <v>58</v>
      </c>
      <c r="B46" s="16" t="s">
        <v>53</v>
      </c>
      <c r="C46" s="17" t="s">
        <v>13</v>
      </c>
      <c r="D46" s="18">
        <v>40</v>
      </c>
      <c r="F46" s="129" t="s">
        <v>168</v>
      </c>
      <c r="G46" s="127" t="s">
        <v>73</v>
      </c>
    </row>
    <row r="47" spans="1:7" ht="15.75" customHeight="1">
      <c r="A47" s="15" t="s">
        <v>59</v>
      </c>
      <c r="B47" s="16" t="s">
        <v>53</v>
      </c>
      <c r="C47" s="17" t="s">
        <v>13</v>
      </c>
      <c r="D47" s="18">
        <v>125</v>
      </c>
      <c r="F47" s="131" t="s">
        <v>317</v>
      </c>
      <c r="G47" s="127" t="s">
        <v>73</v>
      </c>
    </row>
    <row r="48" spans="1:7" ht="15.75" customHeight="1">
      <c r="A48" s="15" t="s">
        <v>60</v>
      </c>
      <c r="B48" s="16" t="s">
        <v>53</v>
      </c>
      <c r="C48" s="17" t="s">
        <v>13</v>
      </c>
      <c r="D48" s="18">
        <v>370</v>
      </c>
      <c r="F48" s="129" t="s">
        <v>315</v>
      </c>
      <c r="G48" s="127" t="s">
        <v>73</v>
      </c>
    </row>
    <row r="49" spans="1:7" ht="15.75" customHeight="1">
      <c r="A49" s="22" t="s">
        <v>61</v>
      </c>
      <c r="B49" s="16" t="s">
        <v>53</v>
      </c>
      <c r="C49" s="17" t="s">
        <v>15</v>
      </c>
      <c r="D49" s="18">
        <v>162</v>
      </c>
      <c r="F49" s="129" t="s">
        <v>319</v>
      </c>
      <c r="G49" s="127" t="s">
        <v>73</v>
      </c>
    </row>
    <row r="50" spans="1:7" ht="20.25" customHeight="1">
      <c r="A50" s="22" t="s">
        <v>62</v>
      </c>
      <c r="B50" s="16" t="s">
        <v>53</v>
      </c>
      <c r="C50" s="17" t="s">
        <v>17</v>
      </c>
      <c r="D50" s="18">
        <v>20</v>
      </c>
      <c r="F50" s="129" t="s">
        <v>178</v>
      </c>
      <c r="G50" s="127" t="s">
        <v>73</v>
      </c>
    </row>
    <row r="51" spans="1:7" ht="15.75" customHeight="1">
      <c r="A51" s="23" t="s">
        <v>63</v>
      </c>
      <c r="B51" s="16" t="s">
        <v>53</v>
      </c>
      <c r="C51" s="17" t="s">
        <v>17</v>
      </c>
      <c r="D51" s="18">
        <v>60</v>
      </c>
      <c r="F51" s="129" t="s">
        <v>188</v>
      </c>
      <c r="G51" s="127" t="s">
        <v>73</v>
      </c>
    </row>
    <row r="52" spans="1:7" ht="15.75" customHeight="1">
      <c r="A52" s="23" t="s">
        <v>64</v>
      </c>
      <c r="B52" s="16" t="s">
        <v>53</v>
      </c>
      <c r="C52" s="17" t="s">
        <v>17</v>
      </c>
      <c r="D52" s="18">
        <v>31.25</v>
      </c>
      <c r="F52" s="129" t="s">
        <v>320</v>
      </c>
      <c r="G52" s="127" t="s">
        <v>73</v>
      </c>
    </row>
    <row r="53" spans="1:7" ht="15.75" customHeight="1">
      <c r="A53" s="23" t="s">
        <v>65</v>
      </c>
      <c r="B53" s="16" t="s">
        <v>53</v>
      </c>
      <c r="C53" s="17" t="s">
        <v>17</v>
      </c>
      <c r="D53" s="18">
        <v>49.11</v>
      </c>
      <c r="F53" s="129" t="s">
        <v>189</v>
      </c>
      <c r="G53" s="127" t="s">
        <v>73</v>
      </c>
    </row>
    <row r="54" spans="1:7" ht="15.75" customHeight="1">
      <c r="A54" s="15" t="s">
        <v>66</v>
      </c>
      <c r="B54" s="16" t="s">
        <v>53</v>
      </c>
      <c r="C54" s="17" t="s">
        <v>17</v>
      </c>
      <c r="D54" s="24">
        <v>16</v>
      </c>
      <c r="F54" s="127" t="s">
        <v>173</v>
      </c>
      <c r="G54" s="127" t="s">
        <v>73</v>
      </c>
    </row>
    <row r="55" spans="1:7" ht="15.75" customHeight="1">
      <c r="A55" s="23" t="s">
        <v>67</v>
      </c>
      <c r="B55" s="16" t="s">
        <v>53</v>
      </c>
      <c r="C55" s="17" t="s">
        <v>46</v>
      </c>
      <c r="D55" s="18">
        <v>55</v>
      </c>
      <c r="F55" s="127" t="s">
        <v>174</v>
      </c>
      <c r="G55" s="127" t="s">
        <v>73</v>
      </c>
    </row>
    <row r="56" spans="1:7" ht="15.75" customHeight="1">
      <c r="A56" s="17" t="s">
        <v>68</v>
      </c>
      <c r="B56" s="16" t="s">
        <v>53</v>
      </c>
      <c r="C56" s="17" t="s">
        <v>69</v>
      </c>
      <c r="D56" s="17">
        <v>230</v>
      </c>
      <c r="F56" s="127" t="s">
        <v>214</v>
      </c>
      <c r="G56" s="127" t="s">
        <v>73</v>
      </c>
    </row>
    <row r="57" spans="1:7" ht="15.75" customHeight="1">
      <c r="A57" s="17" t="s">
        <v>70</v>
      </c>
      <c r="B57" s="16" t="s">
        <v>53</v>
      </c>
      <c r="C57" s="17" t="s">
        <v>69</v>
      </c>
      <c r="D57" s="17">
        <v>250</v>
      </c>
      <c r="F57" s="127" t="s">
        <v>175</v>
      </c>
      <c r="G57" s="127" t="s">
        <v>73</v>
      </c>
    </row>
    <row r="58" spans="1:7" ht="15.75" customHeight="1">
      <c r="A58" s="17" t="s">
        <v>71</v>
      </c>
      <c r="B58" s="16" t="s">
        <v>53</v>
      </c>
      <c r="C58" s="17" t="s">
        <v>69</v>
      </c>
      <c r="D58" s="17">
        <v>200</v>
      </c>
      <c r="F58" s="127" t="s">
        <v>176</v>
      </c>
      <c r="G58" s="127" t="s">
        <v>73</v>
      </c>
    </row>
    <row r="59" spans="1:7" ht="15.75" customHeight="1">
      <c r="A59" s="17"/>
      <c r="B59" s="16"/>
      <c r="C59" s="17"/>
      <c r="D59" s="17"/>
      <c r="F59" s="127" t="s">
        <v>213</v>
      </c>
      <c r="G59" s="127" t="s">
        <v>73</v>
      </c>
    </row>
    <row r="60" spans="1:7" ht="15.75" customHeight="1">
      <c r="A60" s="17"/>
      <c r="B60" s="16"/>
      <c r="C60" s="17"/>
      <c r="D60" s="17"/>
      <c r="F60" s="130" t="s">
        <v>308</v>
      </c>
      <c r="G60" s="127" t="s">
        <v>73</v>
      </c>
    </row>
    <row r="61" spans="1:7" ht="15.75" customHeight="1">
      <c r="A61" s="23" t="s">
        <v>72</v>
      </c>
      <c r="B61" s="16" t="s">
        <v>73</v>
      </c>
      <c r="C61" s="17" t="s">
        <v>13</v>
      </c>
      <c r="D61" s="18">
        <v>102</v>
      </c>
      <c r="F61" s="130" t="s">
        <v>314</v>
      </c>
      <c r="G61" s="127" t="s">
        <v>73</v>
      </c>
    </row>
    <row r="62" spans="1:7" ht="15.75" customHeight="1">
      <c r="A62" s="23" t="s">
        <v>74</v>
      </c>
      <c r="B62" s="16" t="s">
        <v>73</v>
      </c>
      <c r="C62" s="17" t="s">
        <v>13</v>
      </c>
      <c r="D62" s="18">
        <v>77</v>
      </c>
      <c r="F62" s="129" t="s">
        <v>329</v>
      </c>
      <c r="G62" s="127" t="s">
        <v>73</v>
      </c>
    </row>
    <row r="63" spans="1:7" ht="15.75" customHeight="1">
      <c r="A63" s="23" t="s">
        <v>75</v>
      </c>
      <c r="B63" s="16" t="s">
        <v>73</v>
      </c>
      <c r="C63" s="17" t="s">
        <v>13</v>
      </c>
      <c r="D63" s="18">
        <v>38</v>
      </c>
      <c r="F63" s="129" t="s">
        <v>92</v>
      </c>
      <c r="G63" s="127" t="s">
        <v>93</v>
      </c>
    </row>
    <row r="64" spans="1:7" ht="15.75" customHeight="1">
      <c r="A64" s="15" t="s">
        <v>76</v>
      </c>
      <c r="B64" s="16" t="s">
        <v>73</v>
      </c>
      <c r="C64" s="17" t="s">
        <v>13</v>
      </c>
      <c r="D64" s="18">
        <v>19.64</v>
      </c>
      <c r="F64" s="129" t="s">
        <v>94</v>
      </c>
      <c r="G64" s="127" t="s">
        <v>93</v>
      </c>
    </row>
    <row r="65" spans="1:7" ht="15.75" customHeight="1">
      <c r="A65" s="15" t="s">
        <v>77</v>
      </c>
      <c r="B65" s="16" t="s">
        <v>73</v>
      </c>
      <c r="C65" s="17" t="s">
        <v>13</v>
      </c>
      <c r="D65" s="18">
        <v>54</v>
      </c>
      <c r="F65" s="125" t="s">
        <v>95</v>
      </c>
      <c r="G65" s="127" t="s">
        <v>93</v>
      </c>
    </row>
    <row r="66" spans="1:7" ht="15.75" customHeight="1">
      <c r="A66" s="23" t="s">
        <v>78</v>
      </c>
      <c r="B66" s="16" t="s">
        <v>73</v>
      </c>
      <c r="C66" s="17" t="s">
        <v>13</v>
      </c>
      <c r="D66" s="18">
        <v>38</v>
      </c>
      <c r="F66" s="129" t="s">
        <v>192</v>
      </c>
      <c r="G66" s="127" t="s">
        <v>93</v>
      </c>
    </row>
    <row r="67" spans="1:7" ht="15.75" customHeight="1">
      <c r="A67" s="23" t="s">
        <v>79</v>
      </c>
      <c r="B67" s="16" t="s">
        <v>73</v>
      </c>
      <c r="C67" s="17" t="s">
        <v>13</v>
      </c>
      <c r="D67" s="18">
        <v>102</v>
      </c>
      <c r="F67" s="129" t="s">
        <v>193</v>
      </c>
      <c r="G67" s="127" t="s">
        <v>93</v>
      </c>
    </row>
    <row r="68" spans="1:7" ht="15.75" customHeight="1">
      <c r="A68" s="23" t="s">
        <v>80</v>
      </c>
      <c r="B68" s="16" t="s">
        <v>73</v>
      </c>
      <c r="C68" s="17" t="s">
        <v>13</v>
      </c>
      <c r="D68" s="18">
        <v>92</v>
      </c>
      <c r="F68" s="129" t="s">
        <v>194</v>
      </c>
      <c r="G68" s="127" t="s">
        <v>93</v>
      </c>
    </row>
    <row r="69" spans="1:7" ht="15.75" customHeight="1">
      <c r="A69" s="23" t="s">
        <v>81</v>
      </c>
      <c r="B69" s="16" t="s">
        <v>73</v>
      </c>
      <c r="C69" s="17" t="s">
        <v>13</v>
      </c>
      <c r="D69" s="18">
        <v>43</v>
      </c>
      <c r="F69" s="125" t="s">
        <v>195</v>
      </c>
      <c r="G69" s="127" t="s">
        <v>93</v>
      </c>
    </row>
    <row r="70" spans="1:7" ht="15.75" customHeight="1">
      <c r="A70" s="23" t="s">
        <v>82</v>
      </c>
      <c r="B70" s="16" t="s">
        <v>73</v>
      </c>
      <c r="C70" s="17" t="s">
        <v>13</v>
      </c>
      <c r="D70" s="18">
        <v>100</v>
      </c>
      <c r="F70" s="129" t="s">
        <v>196</v>
      </c>
      <c r="G70" s="127" t="s">
        <v>93</v>
      </c>
    </row>
    <row r="71" spans="1:7" ht="15.75" customHeight="1">
      <c r="A71" s="23" t="s">
        <v>83</v>
      </c>
      <c r="B71" s="16" t="s">
        <v>73</v>
      </c>
      <c r="C71" s="17" t="s">
        <v>13</v>
      </c>
      <c r="D71" s="18">
        <v>125</v>
      </c>
      <c r="F71" s="129" t="s">
        <v>190</v>
      </c>
      <c r="G71" s="127" t="s">
        <v>93</v>
      </c>
    </row>
    <row r="72" spans="1:7" ht="15.75" customHeight="1">
      <c r="A72" s="15" t="s">
        <v>84</v>
      </c>
      <c r="B72" s="16" t="s">
        <v>73</v>
      </c>
      <c r="C72" s="17" t="s">
        <v>13</v>
      </c>
      <c r="D72" s="18">
        <v>72</v>
      </c>
      <c r="F72" s="125" t="s">
        <v>215</v>
      </c>
      <c r="G72" s="127" t="s">
        <v>93</v>
      </c>
    </row>
    <row r="73" spans="1:7" ht="15.75" customHeight="1">
      <c r="A73" s="23" t="s">
        <v>85</v>
      </c>
      <c r="B73" s="16" t="s">
        <v>73</v>
      </c>
      <c r="C73" s="17" t="s">
        <v>13</v>
      </c>
      <c r="D73" s="18">
        <v>36</v>
      </c>
      <c r="F73" s="125" t="s">
        <v>197</v>
      </c>
      <c r="G73" s="127" t="s">
        <v>93</v>
      </c>
    </row>
    <row r="74" spans="1:7" ht="15.75" customHeight="1">
      <c r="A74" s="23" t="s">
        <v>86</v>
      </c>
      <c r="B74" s="16" t="s">
        <v>73</v>
      </c>
      <c r="C74" s="17" t="s">
        <v>13</v>
      </c>
      <c r="D74" s="18">
        <v>80</v>
      </c>
      <c r="F74" s="125" t="s">
        <v>198</v>
      </c>
      <c r="G74" s="127" t="s">
        <v>93</v>
      </c>
    </row>
    <row r="75" spans="1:7" ht="15.75" customHeight="1">
      <c r="A75" s="17" t="s">
        <v>87</v>
      </c>
      <c r="B75" s="16" t="s">
        <v>73</v>
      </c>
      <c r="C75" s="17" t="s">
        <v>13</v>
      </c>
      <c r="D75" s="17">
        <v>40</v>
      </c>
      <c r="F75" s="129" t="s">
        <v>199</v>
      </c>
      <c r="G75" s="127" t="s">
        <v>93</v>
      </c>
    </row>
    <row r="76" spans="1:7" ht="15.75" customHeight="1">
      <c r="A76" s="17" t="s">
        <v>88</v>
      </c>
      <c r="B76" s="16" t="s">
        <v>73</v>
      </c>
      <c r="C76" s="17" t="s">
        <v>13</v>
      </c>
      <c r="D76" s="17">
        <v>80</v>
      </c>
      <c r="F76" s="125" t="s">
        <v>201</v>
      </c>
      <c r="G76" s="127" t="s">
        <v>93</v>
      </c>
    </row>
    <row r="77" spans="1:7" ht="15.75" customHeight="1">
      <c r="A77" s="17" t="s">
        <v>89</v>
      </c>
      <c r="B77" s="16" t="s">
        <v>73</v>
      </c>
      <c r="C77" s="17" t="s">
        <v>13</v>
      </c>
      <c r="D77" s="17">
        <v>90</v>
      </c>
      <c r="F77" s="125" t="s">
        <v>200</v>
      </c>
      <c r="G77" s="127" t="s">
        <v>93</v>
      </c>
    </row>
    <row r="78" spans="1:7" ht="15.75" customHeight="1">
      <c r="A78" s="17" t="s">
        <v>90</v>
      </c>
      <c r="B78" s="16" t="s">
        <v>73</v>
      </c>
      <c r="C78" s="17" t="s">
        <v>13</v>
      </c>
      <c r="D78" s="17">
        <v>30</v>
      </c>
      <c r="F78" s="129" t="s">
        <v>179</v>
      </c>
      <c r="G78" s="127" t="s">
        <v>93</v>
      </c>
    </row>
    <row r="79" spans="1:7" ht="15.75" customHeight="1">
      <c r="A79" s="17" t="s">
        <v>28</v>
      </c>
      <c r="B79" s="16" t="s">
        <v>73</v>
      </c>
      <c r="C79" s="17" t="s">
        <v>13</v>
      </c>
      <c r="D79" s="17">
        <v>100</v>
      </c>
      <c r="F79" s="125" t="s">
        <v>302</v>
      </c>
      <c r="G79" s="127" t="s">
        <v>93</v>
      </c>
    </row>
    <row r="80" spans="1:7" ht="15.75" customHeight="1">
      <c r="A80" s="17" t="s">
        <v>91</v>
      </c>
      <c r="B80" s="16" t="s">
        <v>73</v>
      </c>
      <c r="C80" s="17" t="s">
        <v>13</v>
      </c>
      <c r="D80" s="17">
        <v>104</v>
      </c>
      <c r="F80" s="125" t="s">
        <v>183</v>
      </c>
      <c r="G80" s="127" t="s">
        <v>93</v>
      </c>
    </row>
    <row r="81" spans="1:7" ht="15.75" customHeight="1">
      <c r="A81" s="17"/>
      <c r="B81" s="16"/>
      <c r="C81" s="17"/>
      <c r="D81" s="17"/>
      <c r="F81" s="127" t="s">
        <v>184</v>
      </c>
      <c r="G81" s="127" t="s">
        <v>93</v>
      </c>
    </row>
    <row r="82" spans="1:7" ht="15.75" customHeight="1">
      <c r="A82" s="17"/>
      <c r="B82" s="16"/>
      <c r="C82" s="17"/>
      <c r="D82" s="17"/>
      <c r="F82" s="127" t="s">
        <v>191</v>
      </c>
      <c r="G82" s="127" t="s">
        <v>93</v>
      </c>
    </row>
    <row r="83" spans="1:7" ht="15.75" customHeight="1">
      <c r="A83" s="23" t="s">
        <v>92</v>
      </c>
      <c r="B83" s="16" t="s">
        <v>93</v>
      </c>
      <c r="C83" s="17" t="s">
        <v>13</v>
      </c>
      <c r="D83" s="25">
        <v>250</v>
      </c>
      <c r="F83" s="127" t="s">
        <v>185</v>
      </c>
      <c r="G83" s="127" t="s">
        <v>93</v>
      </c>
    </row>
    <row r="84" spans="1:7" ht="15.75" customHeight="1">
      <c r="A84" s="23" t="s">
        <v>94</v>
      </c>
      <c r="B84" s="16" t="s">
        <v>93</v>
      </c>
      <c r="C84" s="17" t="s">
        <v>13</v>
      </c>
      <c r="D84" s="18">
        <v>450</v>
      </c>
      <c r="F84" s="127" t="s">
        <v>186</v>
      </c>
      <c r="G84" s="127" t="s">
        <v>93</v>
      </c>
    </row>
    <row r="85" spans="1:7" ht="15.75" customHeight="1">
      <c r="A85" s="15" t="s">
        <v>95</v>
      </c>
      <c r="B85" s="16" t="s">
        <v>93</v>
      </c>
      <c r="C85" s="17" t="s">
        <v>13</v>
      </c>
      <c r="D85" s="18">
        <v>750</v>
      </c>
      <c r="F85" s="127" t="s">
        <v>187</v>
      </c>
      <c r="G85" s="127" t="s">
        <v>93</v>
      </c>
    </row>
    <row r="86" spans="1:7" ht="15.75" customHeight="1">
      <c r="A86" s="23" t="s">
        <v>96</v>
      </c>
      <c r="B86" s="16" t="s">
        <v>93</v>
      </c>
      <c r="C86" s="17" t="s">
        <v>13</v>
      </c>
      <c r="D86" s="18">
        <v>1750</v>
      </c>
      <c r="F86" s="127" t="s">
        <v>181</v>
      </c>
      <c r="G86" s="127" t="s">
        <v>93</v>
      </c>
    </row>
    <row r="87" spans="1:7" ht="15.75" customHeight="1">
      <c r="A87" s="23" t="s">
        <v>97</v>
      </c>
      <c r="B87" s="16" t="s">
        <v>93</v>
      </c>
      <c r="C87" s="17" t="s">
        <v>13</v>
      </c>
      <c r="D87" s="18">
        <v>514.29999999999995</v>
      </c>
      <c r="F87" s="129" t="s">
        <v>182</v>
      </c>
      <c r="G87" s="127" t="s">
        <v>93</v>
      </c>
    </row>
    <row r="88" spans="1:7" ht="15.75" customHeight="1">
      <c r="A88" s="23" t="s">
        <v>98</v>
      </c>
      <c r="B88" s="16" t="s">
        <v>93</v>
      </c>
      <c r="C88" s="17" t="s">
        <v>13</v>
      </c>
      <c r="D88" s="18">
        <v>360</v>
      </c>
      <c r="F88" s="129" t="s">
        <v>180</v>
      </c>
      <c r="G88" s="127" t="s">
        <v>93</v>
      </c>
    </row>
    <row r="89" spans="1:7" ht="15.75" customHeight="1">
      <c r="A89" s="15" t="s">
        <v>99</v>
      </c>
      <c r="B89" s="16" t="s">
        <v>93</v>
      </c>
      <c r="C89" s="17" t="s">
        <v>13</v>
      </c>
      <c r="D89" s="18">
        <v>180</v>
      </c>
      <c r="F89" s="127" t="s">
        <v>123</v>
      </c>
      <c r="G89" s="127" t="s">
        <v>93</v>
      </c>
    </row>
    <row r="90" spans="1:7" ht="15.75" customHeight="1">
      <c r="A90" s="23" t="s">
        <v>100</v>
      </c>
      <c r="B90" s="16" t="s">
        <v>93</v>
      </c>
      <c r="C90" s="17" t="s">
        <v>13</v>
      </c>
      <c r="D90" s="18">
        <v>260</v>
      </c>
      <c r="F90" s="127" t="s">
        <v>204</v>
      </c>
      <c r="G90" s="127" t="s">
        <v>93</v>
      </c>
    </row>
    <row r="91" spans="1:7" ht="15.75" customHeight="1">
      <c r="A91" s="23" t="s">
        <v>100</v>
      </c>
      <c r="B91" s="16" t="s">
        <v>93</v>
      </c>
      <c r="C91" s="17" t="s">
        <v>13</v>
      </c>
      <c r="D91" s="18">
        <v>260</v>
      </c>
      <c r="F91" s="129" t="s">
        <v>31</v>
      </c>
      <c r="G91" s="127" t="s">
        <v>93</v>
      </c>
    </row>
    <row r="92" spans="1:7" ht="15.75" customHeight="1">
      <c r="A92" s="15" t="s">
        <v>101</v>
      </c>
      <c r="B92" s="16" t="s">
        <v>93</v>
      </c>
      <c r="C92" s="17" t="s">
        <v>13</v>
      </c>
      <c r="D92" s="24">
        <v>620</v>
      </c>
      <c r="F92" s="130" t="s">
        <v>304</v>
      </c>
      <c r="G92" s="127" t="s">
        <v>93</v>
      </c>
    </row>
    <row r="93" spans="1:7" ht="15.75" customHeight="1">
      <c r="A93" s="15" t="s">
        <v>102</v>
      </c>
      <c r="B93" s="16" t="s">
        <v>93</v>
      </c>
      <c r="C93" s="17" t="s">
        <v>13</v>
      </c>
      <c r="D93" s="18">
        <v>180</v>
      </c>
      <c r="F93" s="130" t="s">
        <v>305</v>
      </c>
      <c r="G93" s="127" t="s">
        <v>93</v>
      </c>
    </row>
    <row r="94" spans="1:7" ht="15.75" customHeight="1">
      <c r="A94" s="15" t="s">
        <v>103</v>
      </c>
      <c r="B94" s="16" t="s">
        <v>93</v>
      </c>
      <c r="C94" s="17" t="s">
        <v>13</v>
      </c>
      <c r="D94" s="18">
        <v>90</v>
      </c>
      <c r="F94" s="130" t="s">
        <v>310</v>
      </c>
      <c r="G94" s="127" t="s">
        <v>93</v>
      </c>
    </row>
    <row r="95" spans="1:7" ht="15.75" customHeight="1" thickBot="1">
      <c r="A95" s="23" t="s">
        <v>104</v>
      </c>
      <c r="B95" s="16" t="s">
        <v>93</v>
      </c>
      <c r="C95" s="17" t="s">
        <v>13</v>
      </c>
      <c r="D95" s="18">
        <v>240</v>
      </c>
      <c r="F95" s="134" t="s">
        <v>323</v>
      </c>
      <c r="G95" s="135" t="s">
        <v>93</v>
      </c>
    </row>
    <row r="96" spans="1:7" ht="15.75" customHeight="1">
      <c r="A96" s="23" t="s">
        <v>105</v>
      </c>
      <c r="B96" s="16" t="s">
        <v>93</v>
      </c>
      <c r="C96" s="17" t="s">
        <v>13</v>
      </c>
      <c r="D96" s="18">
        <v>200</v>
      </c>
    </row>
    <row r="97" spans="1:9" ht="15.75" customHeight="1">
      <c r="A97" s="15" t="s">
        <v>106</v>
      </c>
      <c r="B97" s="16" t="s">
        <v>93</v>
      </c>
      <c r="C97" s="17" t="s">
        <v>13</v>
      </c>
      <c r="D97" s="18">
        <v>57.14</v>
      </c>
      <c r="F97" s="23" t="s">
        <v>136</v>
      </c>
      <c r="G97" s="16" t="s">
        <v>137</v>
      </c>
      <c r="H97" s="17" t="s">
        <v>138</v>
      </c>
      <c r="I97" s="18">
        <v>90</v>
      </c>
    </row>
    <row r="98" spans="1:9" ht="15.75" customHeight="1">
      <c r="A98" s="23" t="s">
        <v>107</v>
      </c>
      <c r="B98" s="16" t="s">
        <v>93</v>
      </c>
      <c r="C98" s="17" t="s">
        <v>13</v>
      </c>
      <c r="D98" s="18">
        <v>80</v>
      </c>
      <c r="F98" s="23" t="s">
        <v>139</v>
      </c>
      <c r="G98" s="16" t="s">
        <v>137</v>
      </c>
      <c r="H98" s="17" t="s">
        <v>13</v>
      </c>
      <c r="I98" s="18">
        <v>95</v>
      </c>
    </row>
    <row r="99" spans="1:9" ht="15.75" customHeight="1">
      <c r="A99" s="15" t="s">
        <v>108</v>
      </c>
      <c r="B99" s="16" t="s">
        <v>93</v>
      </c>
      <c r="C99" s="17" t="s">
        <v>13</v>
      </c>
      <c r="D99" s="18">
        <v>400</v>
      </c>
      <c r="F99" s="23" t="s">
        <v>140</v>
      </c>
      <c r="G99" s="16" t="s">
        <v>137</v>
      </c>
      <c r="H99" s="17" t="s">
        <v>13</v>
      </c>
      <c r="I99" s="18">
        <v>25</v>
      </c>
    </row>
    <row r="100" spans="1:9" ht="15.75" customHeight="1">
      <c r="A100" s="23" t="s">
        <v>109</v>
      </c>
      <c r="B100" s="16" t="s">
        <v>93</v>
      </c>
      <c r="C100" s="17" t="s">
        <v>13</v>
      </c>
      <c r="D100" s="18">
        <v>125</v>
      </c>
      <c r="F100" s="15" t="s">
        <v>141</v>
      </c>
      <c r="G100" s="16" t="s">
        <v>137</v>
      </c>
      <c r="H100" s="17" t="s">
        <v>13</v>
      </c>
      <c r="I100" s="18">
        <v>26</v>
      </c>
    </row>
    <row r="101" spans="1:9" ht="15.75" customHeight="1">
      <c r="A101" s="23" t="s">
        <v>110</v>
      </c>
      <c r="B101" s="16" t="s">
        <v>93</v>
      </c>
      <c r="C101" s="17" t="s">
        <v>13</v>
      </c>
      <c r="D101" s="18">
        <v>72</v>
      </c>
      <c r="F101" s="15" t="s">
        <v>142</v>
      </c>
      <c r="G101" s="16" t="s">
        <v>137</v>
      </c>
      <c r="H101" s="17" t="s">
        <v>13</v>
      </c>
      <c r="I101" s="18">
        <v>58</v>
      </c>
    </row>
    <row r="102" spans="1:9" ht="15.75" customHeight="1">
      <c r="A102" s="15" t="s">
        <v>111</v>
      </c>
      <c r="B102" s="16" t="s">
        <v>93</v>
      </c>
      <c r="C102" s="17" t="s">
        <v>13</v>
      </c>
      <c r="D102" s="24">
        <v>250</v>
      </c>
      <c r="F102" s="23" t="s">
        <v>143</v>
      </c>
      <c r="G102" s="16" t="s">
        <v>137</v>
      </c>
      <c r="H102" s="17" t="s">
        <v>13</v>
      </c>
      <c r="I102" s="18">
        <v>38</v>
      </c>
    </row>
    <row r="103" spans="1:9" ht="15.75" customHeight="1">
      <c r="A103" s="15" t="s">
        <v>112</v>
      </c>
      <c r="B103" s="16" t="s">
        <v>93</v>
      </c>
      <c r="C103" s="17" t="s">
        <v>13</v>
      </c>
      <c r="D103" s="18">
        <v>210</v>
      </c>
      <c r="F103" s="23" t="s">
        <v>144</v>
      </c>
      <c r="G103" s="16" t="s">
        <v>137</v>
      </c>
      <c r="H103" s="17" t="s">
        <v>13</v>
      </c>
      <c r="I103" s="18">
        <v>100</v>
      </c>
    </row>
    <row r="104" spans="1:9" ht="15.75" customHeight="1">
      <c r="A104" s="23" t="s">
        <v>113</v>
      </c>
      <c r="B104" s="16" t="s">
        <v>93</v>
      </c>
      <c r="C104" s="17" t="s">
        <v>13</v>
      </c>
      <c r="D104" s="18">
        <v>250</v>
      </c>
      <c r="F104" s="15" t="s">
        <v>145</v>
      </c>
      <c r="G104" s="16" t="s">
        <v>137</v>
      </c>
      <c r="H104" s="17" t="s">
        <v>13</v>
      </c>
      <c r="I104" s="18">
        <v>35</v>
      </c>
    </row>
    <row r="105" spans="1:9" ht="15.75" customHeight="1">
      <c r="A105" s="23" t="s">
        <v>114</v>
      </c>
      <c r="B105" s="16" t="s">
        <v>93</v>
      </c>
      <c r="C105" s="17" t="s">
        <v>13</v>
      </c>
      <c r="D105" s="18">
        <v>100</v>
      </c>
      <c r="F105" s="23" t="s">
        <v>146</v>
      </c>
      <c r="G105" s="16" t="s">
        <v>137</v>
      </c>
      <c r="H105" s="17" t="s">
        <v>13</v>
      </c>
      <c r="I105" s="18">
        <v>50</v>
      </c>
    </row>
    <row r="106" spans="1:9" ht="15.75" customHeight="1">
      <c r="A106" s="15" t="s">
        <v>115</v>
      </c>
      <c r="B106" s="16" t="s">
        <v>93</v>
      </c>
      <c r="C106" s="17" t="s">
        <v>13</v>
      </c>
      <c r="D106" s="18">
        <v>70</v>
      </c>
      <c r="F106" s="23" t="s">
        <v>147</v>
      </c>
      <c r="G106" s="16" t="s">
        <v>137</v>
      </c>
      <c r="H106" s="17" t="s">
        <v>13</v>
      </c>
      <c r="I106" s="18">
        <v>130</v>
      </c>
    </row>
    <row r="107" spans="1:9" ht="15.75" customHeight="1">
      <c r="A107" s="15" t="s">
        <v>116</v>
      </c>
      <c r="B107" s="16" t="s">
        <v>93</v>
      </c>
      <c r="C107" s="17" t="s">
        <v>13</v>
      </c>
      <c r="D107" s="18">
        <v>480</v>
      </c>
      <c r="F107" s="23" t="s">
        <v>148</v>
      </c>
      <c r="G107" s="16" t="s">
        <v>137</v>
      </c>
      <c r="H107" s="17" t="s">
        <v>13</v>
      </c>
      <c r="I107" s="18">
        <v>100</v>
      </c>
    </row>
    <row r="108" spans="1:9" ht="15.75" customHeight="1">
      <c r="A108" s="17" t="s">
        <v>117</v>
      </c>
      <c r="B108" s="17" t="s">
        <v>118</v>
      </c>
      <c r="C108" s="17" t="s">
        <v>13</v>
      </c>
      <c r="D108" s="18">
        <v>450</v>
      </c>
      <c r="F108" s="23" t="s">
        <v>149</v>
      </c>
      <c r="G108" s="16" t="s">
        <v>137</v>
      </c>
      <c r="H108" s="17" t="s">
        <v>13</v>
      </c>
      <c r="I108" s="18">
        <v>55</v>
      </c>
    </row>
    <row r="109" spans="1:9" ht="15.75" customHeight="1">
      <c r="A109" s="17" t="s">
        <v>119</v>
      </c>
      <c r="B109" s="17" t="s">
        <v>118</v>
      </c>
      <c r="C109" s="17" t="s">
        <v>13</v>
      </c>
      <c r="D109" s="18">
        <v>600</v>
      </c>
      <c r="F109" s="23" t="s">
        <v>150</v>
      </c>
      <c r="G109" s="16" t="s">
        <v>137</v>
      </c>
      <c r="H109" s="17" t="s">
        <v>13</v>
      </c>
      <c r="I109" s="18">
        <v>3</v>
      </c>
    </row>
    <row r="110" spans="1:9" ht="15.75" customHeight="1">
      <c r="A110" s="17" t="s">
        <v>120</v>
      </c>
      <c r="B110" s="17" t="s">
        <v>118</v>
      </c>
      <c r="C110" s="17" t="s">
        <v>13</v>
      </c>
      <c r="D110" s="18">
        <v>550</v>
      </c>
      <c r="F110" s="23" t="s">
        <v>151</v>
      </c>
      <c r="G110" s="16" t="s">
        <v>137</v>
      </c>
      <c r="H110" s="17" t="s">
        <v>13</v>
      </c>
      <c r="I110" s="18">
        <v>75</v>
      </c>
    </row>
    <row r="111" spans="1:9" ht="15.75" customHeight="1">
      <c r="A111" s="17" t="s">
        <v>121</v>
      </c>
      <c r="B111" s="17" t="s">
        <v>118</v>
      </c>
      <c r="C111" s="17" t="s">
        <v>13</v>
      </c>
      <c r="D111" s="17">
        <v>550</v>
      </c>
      <c r="F111" s="22" t="s">
        <v>152</v>
      </c>
      <c r="G111" s="16" t="s">
        <v>137</v>
      </c>
      <c r="H111" s="17" t="s">
        <v>13</v>
      </c>
      <c r="I111" s="18">
        <v>60</v>
      </c>
    </row>
    <row r="112" spans="1:9" ht="15.75" customHeight="1">
      <c r="A112" s="17" t="s">
        <v>122</v>
      </c>
      <c r="B112" s="17" t="s">
        <v>118</v>
      </c>
      <c r="C112" s="17" t="s">
        <v>13</v>
      </c>
      <c r="D112" s="18">
        <v>850</v>
      </c>
      <c r="F112" s="23" t="s">
        <v>153</v>
      </c>
      <c r="G112" s="16" t="s">
        <v>137</v>
      </c>
      <c r="H112" s="17" t="s">
        <v>13</v>
      </c>
      <c r="I112" s="18">
        <v>22</v>
      </c>
    </row>
    <row r="113" spans="1:9" ht="15.75" customHeight="1">
      <c r="A113" s="17" t="s">
        <v>123</v>
      </c>
      <c r="B113" s="17" t="s">
        <v>118</v>
      </c>
      <c r="C113" s="17" t="s">
        <v>13</v>
      </c>
      <c r="D113" s="17">
        <v>300</v>
      </c>
      <c r="F113" s="22" t="s">
        <v>154</v>
      </c>
      <c r="G113" s="16" t="s">
        <v>137</v>
      </c>
      <c r="H113" s="17" t="s">
        <v>13</v>
      </c>
      <c r="I113" s="18">
        <v>150</v>
      </c>
    </row>
    <row r="114" spans="1:9" ht="15.75" customHeight="1">
      <c r="A114" s="17" t="s">
        <v>124</v>
      </c>
      <c r="B114" s="17" t="s">
        <v>118</v>
      </c>
      <c r="C114" s="17" t="s">
        <v>13</v>
      </c>
      <c r="D114" s="17">
        <f>'[1]Kadai Masala'!D12</f>
        <v>79</v>
      </c>
      <c r="F114" s="23" t="s">
        <v>155</v>
      </c>
      <c r="G114" s="16" t="s">
        <v>137</v>
      </c>
      <c r="H114" s="17" t="s">
        <v>13</v>
      </c>
      <c r="I114" s="18">
        <v>30</v>
      </c>
    </row>
    <row r="115" spans="1:9" ht="15.75" customHeight="1">
      <c r="A115" s="17" t="s">
        <v>125</v>
      </c>
      <c r="B115" s="17" t="s">
        <v>118</v>
      </c>
      <c r="C115" s="17" t="s">
        <v>13</v>
      </c>
      <c r="D115" s="17">
        <v>550</v>
      </c>
      <c r="F115" s="23" t="s">
        <v>156</v>
      </c>
      <c r="G115" s="16" t="s">
        <v>137</v>
      </c>
      <c r="H115" s="17" t="s">
        <v>13</v>
      </c>
      <c r="I115" s="18">
        <v>35</v>
      </c>
    </row>
    <row r="116" spans="1:9" ht="15.75" customHeight="1">
      <c r="A116" s="23" t="s">
        <v>126</v>
      </c>
      <c r="B116" s="16" t="s">
        <v>93</v>
      </c>
      <c r="C116" s="17" t="s">
        <v>17</v>
      </c>
      <c r="D116" s="18">
        <v>55</v>
      </c>
      <c r="F116" s="17" t="s">
        <v>157</v>
      </c>
      <c r="G116" s="16" t="s">
        <v>137</v>
      </c>
      <c r="H116" s="17" t="s">
        <v>13</v>
      </c>
      <c r="I116" s="17">
        <v>100</v>
      </c>
    </row>
    <row r="117" spans="1:9" ht="15.75" customHeight="1">
      <c r="A117" s="17" t="s">
        <v>127</v>
      </c>
      <c r="B117" s="16" t="s">
        <v>93</v>
      </c>
      <c r="C117" s="17" t="s">
        <v>13</v>
      </c>
      <c r="D117" s="17">
        <v>550</v>
      </c>
      <c r="F117" s="17" t="s">
        <v>158</v>
      </c>
      <c r="G117" s="16" t="s">
        <v>137</v>
      </c>
      <c r="H117" s="17" t="s">
        <v>13</v>
      </c>
      <c r="I117" s="17">
        <v>120</v>
      </c>
    </row>
    <row r="118" spans="1:9" ht="15.75" customHeight="1">
      <c r="A118" s="17" t="s">
        <v>128</v>
      </c>
      <c r="B118" s="16" t="s">
        <v>93</v>
      </c>
      <c r="C118" s="17" t="s">
        <v>13</v>
      </c>
      <c r="D118" s="17">
        <v>600</v>
      </c>
      <c r="F118" s="17" t="s">
        <v>159</v>
      </c>
      <c r="G118" s="16" t="s">
        <v>137</v>
      </c>
      <c r="H118" s="17" t="s">
        <v>160</v>
      </c>
      <c r="I118" s="17">
        <v>35</v>
      </c>
    </row>
    <row r="119" spans="1:9" ht="15.75" customHeight="1">
      <c r="A119" s="17" t="s">
        <v>129</v>
      </c>
      <c r="B119" s="16" t="s">
        <v>93</v>
      </c>
      <c r="C119" s="17" t="s">
        <v>13</v>
      </c>
      <c r="D119" s="17">
        <v>450</v>
      </c>
      <c r="F119" s="17" t="s">
        <v>161</v>
      </c>
      <c r="G119" s="17"/>
      <c r="H119" s="17" t="s">
        <v>13</v>
      </c>
      <c r="I119" s="17">
        <v>15</v>
      </c>
    </row>
    <row r="120" spans="1:9" ht="15.75" customHeight="1">
      <c r="A120" s="17" t="s">
        <v>130</v>
      </c>
      <c r="B120" s="16" t="s">
        <v>93</v>
      </c>
      <c r="C120" s="17" t="s">
        <v>13</v>
      </c>
      <c r="D120" s="17">
        <v>1000</v>
      </c>
      <c r="F120" s="17" t="s">
        <v>358</v>
      </c>
      <c r="G120" s="17"/>
      <c r="H120" s="17"/>
      <c r="I120" s="17">
        <v>60</v>
      </c>
    </row>
    <row r="121" spans="1:9" ht="15.75" customHeight="1">
      <c r="A121" s="17" t="s">
        <v>131</v>
      </c>
      <c r="B121" s="16" t="s">
        <v>93</v>
      </c>
      <c r="C121" s="17" t="s">
        <v>13</v>
      </c>
      <c r="D121" s="17">
        <v>1350</v>
      </c>
      <c r="F121" s="17" t="s">
        <v>359</v>
      </c>
      <c r="G121" s="17"/>
      <c r="H121" s="17"/>
      <c r="I121" s="17">
        <v>60</v>
      </c>
    </row>
    <row r="122" spans="1:9" ht="15.75" customHeight="1">
      <c r="A122" s="17" t="s">
        <v>132</v>
      </c>
      <c r="B122" s="16" t="s">
        <v>93</v>
      </c>
      <c r="C122" s="17" t="s">
        <v>13</v>
      </c>
      <c r="D122" s="17">
        <v>1900</v>
      </c>
      <c r="F122" s="98" t="s">
        <v>352</v>
      </c>
      <c r="I122" s="98">
        <v>200</v>
      </c>
    </row>
    <row r="123" spans="1:9" ht="15.75" customHeight="1">
      <c r="A123" s="17"/>
      <c r="B123" s="16"/>
      <c r="C123" s="17"/>
      <c r="D123" s="17"/>
    </row>
    <row r="124" spans="1:9" ht="15.75" customHeight="1">
      <c r="A124" s="23" t="s">
        <v>133</v>
      </c>
      <c r="B124" s="16" t="s">
        <v>134</v>
      </c>
      <c r="C124" s="17" t="s">
        <v>135</v>
      </c>
      <c r="D124" s="18">
        <v>1250</v>
      </c>
    </row>
    <row r="125" spans="1:9" ht="15.75" customHeight="1">
      <c r="A125" s="23" t="s">
        <v>136</v>
      </c>
      <c r="B125" s="16" t="s">
        <v>137</v>
      </c>
      <c r="C125" s="17" t="s">
        <v>138</v>
      </c>
      <c r="D125" s="18">
        <v>90</v>
      </c>
    </row>
    <row r="126" spans="1:9" ht="15.75" customHeight="1">
      <c r="A126" s="23" t="s">
        <v>139</v>
      </c>
      <c r="B126" s="16" t="s">
        <v>137</v>
      </c>
      <c r="C126" s="17" t="s">
        <v>13</v>
      </c>
      <c r="D126" s="18">
        <v>95</v>
      </c>
    </row>
    <row r="127" spans="1:9" ht="15.75" customHeight="1">
      <c r="A127" s="23" t="s">
        <v>140</v>
      </c>
      <c r="B127" s="16" t="s">
        <v>137</v>
      </c>
      <c r="C127" s="17" t="s">
        <v>13</v>
      </c>
      <c r="D127" s="18">
        <v>25</v>
      </c>
      <c r="H127" s="26">
        <v>7</v>
      </c>
    </row>
    <row r="128" spans="1:9" ht="15.75" customHeight="1">
      <c r="A128" s="15" t="s">
        <v>141</v>
      </c>
      <c r="B128" s="16" t="s">
        <v>137</v>
      </c>
      <c r="C128" s="17" t="s">
        <v>13</v>
      </c>
      <c r="D128" s="18">
        <v>26</v>
      </c>
    </row>
    <row r="129" spans="1:4" ht="15.75" customHeight="1">
      <c r="A129" s="15" t="s">
        <v>142</v>
      </c>
      <c r="B129" s="16" t="s">
        <v>137</v>
      </c>
      <c r="C129" s="17" t="s">
        <v>13</v>
      </c>
      <c r="D129" s="18">
        <v>58</v>
      </c>
    </row>
    <row r="130" spans="1:4" ht="15.75" customHeight="1">
      <c r="A130" s="23" t="s">
        <v>143</v>
      </c>
      <c r="B130" s="16" t="s">
        <v>137</v>
      </c>
      <c r="C130" s="17" t="s">
        <v>13</v>
      </c>
      <c r="D130" s="18">
        <v>38</v>
      </c>
    </row>
    <row r="131" spans="1:4" ht="15.75" customHeight="1">
      <c r="A131" s="23" t="s">
        <v>144</v>
      </c>
      <c r="B131" s="16" t="s">
        <v>137</v>
      </c>
      <c r="C131" s="17" t="s">
        <v>13</v>
      </c>
      <c r="D131" s="18">
        <v>100</v>
      </c>
    </row>
    <row r="132" spans="1:4" ht="15.75" customHeight="1">
      <c r="A132" s="15" t="s">
        <v>145</v>
      </c>
      <c r="B132" s="16" t="s">
        <v>137</v>
      </c>
      <c r="C132" s="17" t="s">
        <v>13</v>
      </c>
      <c r="D132" s="18">
        <v>35</v>
      </c>
    </row>
    <row r="133" spans="1:4" ht="15.75" customHeight="1">
      <c r="A133" s="23" t="s">
        <v>146</v>
      </c>
      <c r="B133" s="16" t="s">
        <v>137</v>
      </c>
      <c r="C133" s="17" t="s">
        <v>13</v>
      </c>
      <c r="D133" s="18">
        <v>50</v>
      </c>
    </row>
    <row r="134" spans="1:4" ht="15.75" customHeight="1">
      <c r="A134" s="23" t="s">
        <v>147</v>
      </c>
      <c r="B134" s="16" t="s">
        <v>137</v>
      </c>
      <c r="C134" s="17" t="s">
        <v>13</v>
      </c>
      <c r="D134" s="18">
        <v>130</v>
      </c>
    </row>
    <row r="135" spans="1:4" ht="15.75" customHeight="1">
      <c r="A135" s="23" t="s">
        <v>148</v>
      </c>
      <c r="B135" s="16" t="s">
        <v>137</v>
      </c>
      <c r="C135" s="17" t="s">
        <v>13</v>
      </c>
      <c r="D135" s="18">
        <v>100</v>
      </c>
    </row>
    <row r="136" spans="1:4" ht="15.75" customHeight="1">
      <c r="A136" s="23" t="s">
        <v>149</v>
      </c>
      <c r="B136" s="16" t="s">
        <v>137</v>
      </c>
      <c r="C136" s="17" t="s">
        <v>13</v>
      </c>
      <c r="D136" s="18">
        <v>55</v>
      </c>
    </row>
    <row r="137" spans="1:4" ht="15.75" customHeight="1">
      <c r="A137" s="23" t="s">
        <v>150</v>
      </c>
      <c r="B137" s="16" t="s">
        <v>137</v>
      </c>
      <c r="C137" s="17" t="s">
        <v>13</v>
      </c>
      <c r="D137" s="18">
        <v>3</v>
      </c>
    </row>
    <row r="138" spans="1:4" ht="15.75" customHeight="1">
      <c r="A138" s="23" t="s">
        <v>151</v>
      </c>
      <c r="B138" s="16" t="s">
        <v>137</v>
      </c>
      <c r="C138" s="17" t="s">
        <v>13</v>
      </c>
      <c r="D138" s="18">
        <v>75</v>
      </c>
    </row>
    <row r="139" spans="1:4" ht="15.75" customHeight="1">
      <c r="A139" s="22" t="s">
        <v>152</v>
      </c>
      <c r="B139" s="16" t="s">
        <v>137</v>
      </c>
      <c r="C139" s="17" t="s">
        <v>13</v>
      </c>
      <c r="D139" s="18">
        <v>60</v>
      </c>
    </row>
    <row r="140" spans="1:4" ht="15.75" customHeight="1">
      <c r="A140" s="23" t="s">
        <v>153</v>
      </c>
      <c r="B140" s="16" t="s">
        <v>137</v>
      </c>
      <c r="C140" s="17" t="s">
        <v>13</v>
      </c>
      <c r="D140" s="18">
        <v>22</v>
      </c>
    </row>
    <row r="141" spans="1:4" ht="15.75" customHeight="1">
      <c r="A141" s="22" t="s">
        <v>154</v>
      </c>
      <c r="B141" s="16" t="s">
        <v>137</v>
      </c>
      <c r="C141" s="17" t="s">
        <v>13</v>
      </c>
      <c r="D141" s="18">
        <v>150</v>
      </c>
    </row>
    <row r="142" spans="1:4" ht="15.75" customHeight="1">
      <c r="A142" s="23" t="s">
        <v>155</v>
      </c>
      <c r="B142" s="16" t="s">
        <v>137</v>
      </c>
      <c r="C142" s="17" t="s">
        <v>13</v>
      </c>
      <c r="D142" s="18">
        <v>30</v>
      </c>
    </row>
    <row r="143" spans="1:4" ht="15.75" customHeight="1">
      <c r="A143" s="23" t="s">
        <v>156</v>
      </c>
      <c r="B143" s="16" t="s">
        <v>137</v>
      </c>
      <c r="C143" s="17" t="s">
        <v>13</v>
      </c>
      <c r="D143" s="18">
        <v>35</v>
      </c>
    </row>
    <row r="144" spans="1:4" ht="15.75" customHeight="1">
      <c r="A144" s="17" t="s">
        <v>157</v>
      </c>
      <c r="B144" s="16" t="s">
        <v>137</v>
      </c>
      <c r="C144" s="17" t="s">
        <v>13</v>
      </c>
      <c r="D144" s="17">
        <v>100</v>
      </c>
    </row>
    <row r="145" spans="1:4" ht="15.75" customHeight="1">
      <c r="A145" s="17" t="s">
        <v>158</v>
      </c>
      <c r="B145" s="16" t="s">
        <v>137</v>
      </c>
      <c r="C145" s="17" t="s">
        <v>13</v>
      </c>
      <c r="D145" s="17">
        <v>120</v>
      </c>
    </row>
    <row r="146" spans="1:4" ht="15.75" customHeight="1">
      <c r="A146" s="17" t="s">
        <v>159</v>
      </c>
      <c r="B146" s="16" t="s">
        <v>137</v>
      </c>
      <c r="C146" s="17" t="s">
        <v>160</v>
      </c>
      <c r="D146" s="17">
        <v>35</v>
      </c>
    </row>
    <row r="147" spans="1:4" ht="15.75" customHeight="1">
      <c r="A147" s="17" t="s">
        <v>161</v>
      </c>
      <c r="B147" s="17"/>
      <c r="C147" s="17" t="s">
        <v>13</v>
      </c>
      <c r="D147" s="17">
        <v>15</v>
      </c>
    </row>
    <row r="148" spans="1:4" ht="15.75" customHeight="1">
      <c r="A148" s="17" t="s">
        <v>358</v>
      </c>
      <c r="B148" s="17"/>
      <c r="C148" s="17"/>
      <c r="D148" s="17">
        <v>60</v>
      </c>
    </row>
    <row r="149" spans="1:4" ht="15.75" customHeight="1">
      <c r="A149" s="17" t="s">
        <v>359</v>
      </c>
      <c r="B149" s="17"/>
      <c r="C149" s="17"/>
      <c r="D149" s="17">
        <v>60</v>
      </c>
    </row>
    <row r="150" spans="1:4" ht="15.75" customHeight="1">
      <c r="A150" s="98" t="s">
        <v>352</v>
      </c>
      <c r="D150" s="98">
        <v>200</v>
      </c>
    </row>
    <row r="151" spans="1:4" ht="15.75" customHeight="1"/>
    <row r="152" spans="1:4" ht="15.75" customHeight="1"/>
    <row r="153" spans="1:4" ht="15.75" customHeight="1"/>
    <row r="154" spans="1:4" ht="15.75" customHeight="1"/>
    <row r="155" spans="1:4" ht="15.75" customHeight="1"/>
    <row r="156" spans="1:4" ht="15.75" customHeight="1"/>
    <row r="157" spans="1:4" ht="15.75" customHeight="1"/>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G95">
    <cfRule type="expression" dxfId="1" priority="1">
      <formula>#REF!="Yes"</formula>
    </cfRule>
    <cfRule type="expression" dxfId="0" priority="2">
      <formula>$B2=1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1"/>
  <sheetViews>
    <sheetView workbookViewId="0">
      <selection activeCell="B4" sqref="B4:E26"/>
    </sheetView>
  </sheetViews>
  <sheetFormatPr defaultRowHeight="15"/>
  <cols>
    <col min="1" max="1" width="17.4609375" bestFit="1" customWidth="1"/>
  </cols>
  <sheetData>
    <row r="1" spans="1:5" ht="15.5" thickBot="1"/>
    <row r="2" spans="1:5" ht="15.5" thickBot="1">
      <c r="A2" s="136" t="s">
        <v>360</v>
      </c>
      <c r="B2" s="137"/>
      <c r="C2" s="137"/>
      <c r="D2" s="137"/>
      <c r="E2" s="138"/>
    </row>
    <row r="3" spans="1:5" ht="15.5" thickBot="1">
      <c r="A3" s="108"/>
      <c r="B3" s="139" t="s">
        <v>343</v>
      </c>
      <c r="C3" s="139"/>
      <c r="D3" s="109" t="s">
        <v>338</v>
      </c>
      <c r="E3" s="110" t="s">
        <v>10</v>
      </c>
    </row>
    <row r="4" spans="1:5">
      <c r="A4" s="112" t="s">
        <v>344</v>
      </c>
      <c r="B4" s="111"/>
      <c r="C4" s="99"/>
      <c r="D4" s="99"/>
      <c r="E4" s="100"/>
    </row>
    <row r="5" spans="1:5">
      <c r="A5" s="113" t="s">
        <v>361</v>
      </c>
      <c r="B5" s="95"/>
      <c r="C5" s="96"/>
      <c r="D5" s="96"/>
      <c r="E5" s="101"/>
    </row>
    <row r="6" spans="1:5">
      <c r="A6" s="113" t="s">
        <v>362</v>
      </c>
      <c r="B6" s="95"/>
      <c r="C6" s="96"/>
      <c r="D6" s="96"/>
      <c r="E6" s="101"/>
    </row>
    <row r="7" spans="1:5">
      <c r="A7" s="113" t="s">
        <v>363</v>
      </c>
      <c r="B7" s="95"/>
      <c r="C7" s="96"/>
      <c r="D7" s="96"/>
      <c r="E7" s="101"/>
    </row>
    <row r="8" spans="1:5">
      <c r="A8" s="113" t="s">
        <v>364</v>
      </c>
      <c r="B8" s="95"/>
      <c r="C8" s="96"/>
      <c r="D8" s="96"/>
      <c r="E8" s="101"/>
    </row>
    <row r="9" spans="1:5">
      <c r="A9" s="113" t="s">
        <v>365</v>
      </c>
      <c r="B9" s="95"/>
      <c r="C9" s="96"/>
      <c r="D9" s="96"/>
      <c r="E9" s="101"/>
    </row>
    <row r="10" spans="1:5">
      <c r="A10" s="113" t="s">
        <v>140</v>
      </c>
      <c r="B10" s="95"/>
      <c r="C10" s="96"/>
      <c r="D10" s="96"/>
      <c r="E10" s="101"/>
    </row>
    <row r="11" spans="1:5">
      <c r="A11" s="113" t="s">
        <v>339</v>
      </c>
      <c r="B11" s="95"/>
      <c r="C11" s="96"/>
      <c r="D11" s="96"/>
      <c r="E11" s="101"/>
    </row>
    <row r="12" spans="1:5">
      <c r="A12" s="113" t="s">
        <v>347</v>
      </c>
      <c r="B12" s="95"/>
      <c r="C12" s="96"/>
      <c r="D12" s="96"/>
      <c r="E12" s="101"/>
    </row>
    <row r="13" spans="1:5">
      <c r="A13" s="113" t="s">
        <v>349</v>
      </c>
      <c r="B13" s="95"/>
      <c r="C13" s="96"/>
      <c r="D13" s="96"/>
      <c r="E13" s="101"/>
    </row>
    <row r="14" spans="1:5">
      <c r="A14" s="113" t="s">
        <v>366</v>
      </c>
      <c r="B14" s="95"/>
      <c r="C14" s="96"/>
      <c r="D14" s="96"/>
      <c r="E14" s="101"/>
    </row>
    <row r="15" spans="1:5">
      <c r="A15" s="113" t="s">
        <v>351</v>
      </c>
      <c r="B15" s="95"/>
      <c r="C15" s="96"/>
      <c r="D15" s="96"/>
      <c r="E15" s="101"/>
    </row>
    <row r="16" spans="1:5">
      <c r="A16" s="113" t="s">
        <v>114</v>
      </c>
      <c r="B16" s="95"/>
      <c r="C16" s="96"/>
      <c r="D16" s="96"/>
      <c r="E16" s="101"/>
    </row>
    <row r="17" spans="1:5">
      <c r="A17" s="113" t="s">
        <v>355</v>
      </c>
      <c r="B17" s="95"/>
      <c r="C17" s="96"/>
      <c r="D17" s="96"/>
      <c r="E17" s="101"/>
    </row>
    <row r="18" spans="1:5">
      <c r="A18" s="113" t="s">
        <v>357</v>
      </c>
      <c r="B18" s="95"/>
      <c r="C18" s="96"/>
      <c r="D18" s="96"/>
      <c r="E18" s="101"/>
    </row>
    <row r="19" spans="1:5">
      <c r="A19" s="113" t="s">
        <v>368</v>
      </c>
      <c r="B19" s="95"/>
      <c r="C19" s="96"/>
      <c r="D19" s="96"/>
      <c r="E19" s="101"/>
    </row>
    <row r="20" spans="1:5">
      <c r="A20" s="113" t="s">
        <v>367</v>
      </c>
      <c r="B20" s="95"/>
      <c r="C20" s="96"/>
      <c r="D20" s="96"/>
      <c r="E20" s="101"/>
    </row>
    <row r="21" spans="1:5">
      <c r="A21" s="113" t="s">
        <v>369</v>
      </c>
      <c r="B21" s="95"/>
      <c r="C21" s="96"/>
      <c r="D21" s="96"/>
      <c r="E21" s="101"/>
    </row>
    <row r="22" spans="1:5">
      <c r="A22" s="113" t="s">
        <v>57</v>
      </c>
      <c r="B22" s="95"/>
      <c r="C22" s="96"/>
      <c r="D22" s="96"/>
      <c r="E22" s="101"/>
    </row>
    <row r="23" spans="1:5">
      <c r="A23" s="113" t="s">
        <v>352</v>
      </c>
      <c r="B23" s="95"/>
      <c r="C23" s="96"/>
      <c r="D23" s="96"/>
      <c r="E23" s="101"/>
    </row>
    <row r="24" spans="1:5">
      <c r="A24" s="113" t="s">
        <v>147</v>
      </c>
      <c r="B24" s="95"/>
      <c r="C24" s="96"/>
      <c r="D24" s="96"/>
      <c r="E24" s="101"/>
    </row>
    <row r="25" spans="1:5">
      <c r="A25" s="116" t="s">
        <v>23</v>
      </c>
      <c r="B25" s="96"/>
      <c r="C25" s="96"/>
      <c r="D25" s="96"/>
      <c r="E25" s="101"/>
    </row>
    <row r="26" spans="1:5" ht="15.5" thickBot="1">
      <c r="A26" s="114" t="s">
        <v>370</v>
      </c>
      <c r="B26" s="104"/>
      <c r="C26" s="104"/>
      <c r="D26" s="104"/>
      <c r="E26" s="105"/>
    </row>
    <row r="27" spans="1:5">
      <c r="A27" s="106"/>
      <c r="B27" s="107"/>
      <c r="C27" s="107"/>
      <c r="D27" s="107"/>
      <c r="E27" s="107"/>
    </row>
    <row r="28" spans="1:5">
      <c r="A28" s="106"/>
      <c r="B28" s="107"/>
      <c r="C28" s="107"/>
      <c r="D28" s="107"/>
      <c r="E28" s="107"/>
    </row>
    <row r="29" spans="1:5">
      <c r="A29" s="106"/>
      <c r="B29" s="107"/>
      <c r="C29" s="107"/>
      <c r="D29" s="107"/>
      <c r="E29" s="107"/>
    </row>
    <row r="30" spans="1:5">
      <c r="C30" t="s">
        <v>340</v>
      </c>
      <c r="E30">
        <f>SUM(E25)</f>
        <v>0</v>
      </c>
    </row>
    <row r="31" spans="1:5">
      <c r="C31" t="s">
        <v>341</v>
      </c>
    </row>
  </sheetData>
  <mergeCells count="2">
    <mergeCell ref="A2:E2"/>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E24"/>
  <sheetViews>
    <sheetView workbookViewId="0">
      <selection activeCell="B4" sqref="B4:F27"/>
    </sheetView>
  </sheetViews>
  <sheetFormatPr defaultRowHeight="15"/>
  <cols>
    <col min="1" max="1" width="17.4609375" bestFit="1" customWidth="1"/>
  </cols>
  <sheetData>
    <row r="2" spans="1:5">
      <c r="A2" s="140" t="s">
        <v>342</v>
      </c>
      <c r="B2" s="141"/>
      <c r="C2" s="141"/>
      <c r="D2" s="141"/>
      <c r="E2" s="142"/>
    </row>
    <row r="3" spans="1:5">
      <c r="A3" s="95"/>
      <c r="B3" s="140" t="s">
        <v>343</v>
      </c>
      <c r="C3" s="142"/>
      <c r="D3" s="96" t="s">
        <v>338</v>
      </c>
      <c r="E3" s="96" t="s">
        <v>10</v>
      </c>
    </row>
    <row r="4" spans="1:5">
      <c r="A4" s="115" t="s">
        <v>344</v>
      </c>
      <c r="B4" s="95"/>
      <c r="C4" s="96"/>
      <c r="D4" s="96"/>
      <c r="E4" s="96"/>
    </row>
    <row r="5" spans="1:5">
      <c r="A5" s="115" t="s">
        <v>345</v>
      </c>
      <c r="B5" s="95"/>
      <c r="C5" s="96"/>
      <c r="D5" s="96"/>
      <c r="E5" s="96"/>
    </row>
    <row r="6" spans="1:5">
      <c r="A6" s="115" t="s">
        <v>346</v>
      </c>
      <c r="B6" s="95"/>
      <c r="C6" s="96"/>
      <c r="D6" s="96"/>
      <c r="E6" s="96"/>
    </row>
    <row r="7" spans="1:5">
      <c r="A7" s="115" t="s">
        <v>147</v>
      </c>
      <c r="B7" s="95"/>
      <c r="C7" s="96"/>
      <c r="D7" s="96"/>
      <c r="E7" s="96"/>
    </row>
    <row r="8" spans="1:5">
      <c r="A8" s="115" t="s">
        <v>339</v>
      </c>
      <c r="B8" s="95"/>
      <c r="C8" s="96"/>
      <c r="D8" s="96"/>
      <c r="E8" s="96"/>
    </row>
    <row r="9" spans="1:5">
      <c r="A9" s="115" t="s">
        <v>347</v>
      </c>
      <c r="B9" s="95"/>
      <c r="C9" s="96"/>
      <c r="D9" s="96"/>
      <c r="E9" s="96"/>
    </row>
    <row r="10" spans="1:5">
      <c r="A10" s="115" t="s">
        <v>348</v>
      </c>
      <c r="B10" s="95"/>
      <c r="C10" s="96"/>
      <c r="D10" s="96"/>
      <c r="E10" s="96"/>
    </row>
    <row r="11" spans="1:5">
      <c r="A11" s="115" t="s">
        <v>349</v>
      </c>
      <c r="B11" s="95"/>
      <c r="C11" s="96"/>
      <c r="D11" s="96"/>
      <c r="E11" s="96"/>
    </row>
    <row r="12" spans="1:5">
      <c r="A12" s="115" t="s">
        <v>350</v>
      </c>
      <c r="B12" s="95"/>
      <c r="C12" s="96"/>
      <c r="D12" s="96"/>
      <c r="E12" s="96"/>
    </row>
    <row r="13" spans="1:5">
      <c r="A13" s="115" t="s">
        <v>351</v>
      </c>
      <c r="B13" s="95"/>
      <c r="C13" s="96"/>
      <c r="D13" s="96"/>
      <c r="E13" s="96"/>
    </row>
    <row r="14" spans="1:5">
      <c r="A14" s="115" t="s">
        <v>352</v>
      </c>
      <c r="B14" s="95"/>
      <c r="C14" s="96"/>
      <c r="D14" s="96"/>
      <c r="E14" s="96"/>
    </row>
    <row r="15" spans="1:5">
      <c r="A15" s="115" t="s">
        <v>114</v>
      </c>
      <c r="B15" s="95"/>
      <c r="C15" s="96"/>
      <c r="D15" s="96"/>
      <c r="E15" s="96"/>
    </row>
    <row r="16" spans="1:5">
      <c r="A16" s="115" t="s">
        <v>353</v>
      </c>
      <c r="B16" s="95"/>
      <c r="C16" s="96"/>
      <c r="D16" s="96"/>
      <c r="E16" s="96"/>
    </row>
    <row r="17" spans="1:5">
      <c r="A17" s="115" t="s">
        <v>57</v>
      </c>
      <c r="B17" s="95"/>
      <c r="C17" s="96"/>
      <c r="D17" s="96"/>
      <c r="E17" s="96"/>
    </row>
    <row r="18" spans="1:5">
      <c r="A18" s="115" t="s">
        <v>354</v>
      </c>
      <c r="B18" s="95"/>
      <c r="C18" s="96"/>
      <c r="D18" s="96"/>
      <c r="E18" s="96"/>
    </row>
    <row r="19" spans="1:5">
      <c r="A19" s="115" t="s">
        <v>355</v>
      </c>
      <c r="B19" s="95"/>
      <c r="C19" s="96"/>
      <c r="D19" s="96"/>
      <c r="E19" s="96"/>
    </row>
    <row r="20" spans="1:5">
      <c r="A20" s="115" t="s">
        <v>357</v>
      </c>
      <c r="B20" s="95"/>
      <c r="C20" s="96"/>
      <c r="D20" s="96"/>
      <c r="E20" s="96"/>
    </row>
    <row r="21" spans="1:5">
      <c r="A21" s="115" t="s">
        <v>356</v>
      </c>
      <c r="B21" s="95"/>
      <c r="C21" s="96"/>
      <c r="D21" s="96"/>
      <c r="E21" s="96"/>
    </row>
    <row r="22" spans="1:5">
      <c r="A22" s="115"/>
      <c r="B22" s="95"/>
      <c r="C22" s="96"/>
      <c r="D22" s="96"/>
      <c r="E22" s="96"/>
    </row>
    <row r="23" spans="1:5">
      <c r="A23" s="115"/>
      <c r="B23" s="95"/>
      <c r="C23" s="96"/>
      <c r="D23" s="96"/>
      <c r="E23" s="96"/>
    </row>
    <row r="24" spans="1:5">
      <c r="A24" s="97"/>
      <c r="B24" s="96"/>
      <c r="C24" s="96"/>
      <c r="D24" s="96"/>
      <c r="E24" s="96"/>
    </row>
  </sheetData>
  <mergeCells count="2">
    <mergeCell ref="A2:E2"/>
    <mergeCell ref="B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2:E20"/>
  <sheetViews>
    <sheetView workbookViewId="0">
      <selection activeCell="B4" sqref="B4:E23"/>
    </sheetView>
  </sheetViews>
  <sheetFormatPr defaultRowHeight="15"/>
  <cols>
    <col min="1" max="1" width="18.3828125" bestFit="1" customWidth="1"/>
  </cols>
  <sheetData>
    <row r="2" spans="1:5">
      <c r="A2" s="140" t="s">
        <v>371</v>
      </c>
      <c r="B2" s="141"/>
      <c r="C2" s="141"/>
      <c r="D2" s="141"/>
      <c r="E2" s="142"/>
    </row>
    <row r="3" spans="1:5">
      <c r="A3" s="95"/>
      <c r="B3" s="140" t="s">
        <v>343</v>
      </c>
      <c r="C3" s="142"/>
      <c r="D3" s="96" t="s">
        <v>338</v>
      </c>
      <c r="E3" s="96" t="s">
        <v>10</v>
      </c>
    </row>
    <row r="4" spans="1:5">
      <c r="A4" s="115" t="s">
        <v>372</v>
      </c>
      <c r="B4" s="95"/>
      <c r="C4" s="96"/>
      <c r="D4" s="96"/>
      <c r="E4" s="96"/>
    </row>
    <row r="5" spans="1:5">
      <c r="A5" s="115" t="s">
        <v>373</v>
      </c>
      <c r="B5" s="95"/>
      <c r="C5" s="96"/>
      <c r="D5" s="96"/>
      <c r="E5" s="96"/>
    </row>
    <row r="6" spans="1:5">
      <c r="A6" s="115" t="s">
        <v>374</v>
      </c>
      <c r="B6" s="95"/>
      <c r="C6" s="96"/>
      <c r="D6" s="96"/>
      <c r="E6" s="96"/>
    </row>
    <row r="7" spans="1:5">
      <c r="A7" s="115" t="s">
        <v>375</v>
      </c>
      <c r="B7" s="95"/>
      <c r="C7" s="96"/>
      <c r="D7" s="96"/>
      <c r="E7" s="96"/>
    </row>
    <row r="8" spans="1:5">
      <c r="A8" s="115" t="s">
        <v>376</v>
      </c>
      <c r="B8" s="95"/>
      <c r="C8" s="96"/>
      <c r="D8" s="96"/>
      <c r="E8" s="96"/>
    </row>
    <row r="9" spans="1:5">
      <c r="A9" s="115" t="s">
        <v>377</v>
      </c>
      <c r="B9" s="95"/>
      <c r="C9" s="96"/>
      <c r="D9" s="96"/>
      <c r="E9" s="96"/>
    </row>
    <row r="10" spans="1:5">
      <c r="A10" s="115" t="s">
        <v>378</v>
      </c>
      <c r="B10" s="95"/>
      <c r="C10" s="96"/>
      <c r="D10" s="96"/>
      <c r="E10" s="96"/>
    </row>
    <row r="11" spans="1:5">
      <c r="A11" s="115" t="s">
        <v>379</v>
      </c>
      <c r="B11" s="95"/>
      <c r="C11" s="96"/>
      <c r="D11" s="96"/>
      <c r="E11" s="96"/>
    </row>
    <row r="12" spans="1:5">
      <c r="A12" s="115" t="s">
        <v>380</v>
      </c>
      <c r="B12" s="95"/>
      <c r="C12" s="96"/>
      <c r="D12" s="96"/>
      <c r="E12" s="96"/>
    </row>
    <row r="13" spans="1:5">
      <c r="A13" s="115" t="s">
        <v>381</v>
      </c>
      <c r="B13" s="95"/>
      <c r="C13" s="96"/>
      <c r="D13" s="96"/>
      <c r="E13" s="96"/>
    </row>
    <row r="14" spans="1:5">
      <c r="A14" s="115" t="s">
        <v>382</v>
      </c>
      <c r="B14" s="95"/>
      <c r="C14" s="96"/>
      <c r="D14" s="96"/>
      <c r="E14" s="96"/>
    </row>
    <row r="15" spans="1:5">
      <c r="A15" s="115" t="s">
        <v>383</v>
      </c>
      <c r="B15" s="95"/>
      <c r="C15" s="96"/>
      <c r="D15" s="96"/>
      <c r="E15" s="96"/>
    </row>
    <row r="16" spans="1:5">
      <c r="A16" s="115" t="s">
        <v>384</v>
      </c>
      <c r="B16" s="95"/>
      <c r="C16" s="96"/>
      <c r="D16" s="96"/>
      <c r="E16" s="96"/>
    </row>
    <row r="17" spans="1:5">
      <c r="A17" s="115" t="s">
        <v>385</v>
      </c>
      <c r="B17" s="95"/>
      <c r="C17" s="96"/>
      <c r="D17" s="96"/>
      <c r="E17" s="96"/>
    </row>
    <row r="18" spans="1:5">
      <c r="A18" s="115" t="s">
        <v>386</v>
      </c>
      <c r="B18" s="95"/>
      <c r="C18" s="96"/>
      <c r="D18" s="96"/>
      <c r="E18" s="96"/>
    </row>
    <row r="19" spans="1:5">
      <c r="A19" s="115" t="s">
        <v>387</v>
      </c>
      <c r="B19" s="95"/>
      <c r="C19" s="96"/>
      <c r="D19" s="96"/>
      <c r="E19" s="96"/>
    </row>
    <row r="20" spans="1:5">
      <c r="A20" s="97"/>
      <c r="B20" s="96"/>
      <c r="C20" s="96"/>
      <c r="D20" s="96"/>
      <c r="E20" s="96"/>
    </row>
  </sheetData>
  <mergeCells count="2">
    <mergeCell ref="A2:E2"/>
    <mergeCell ref="B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
  <sheetViews>
    <sheetView workbookViewId="0">
      <selection activeCell="B4" sqref="B4:C24"/>
    </sheetView>
  </sheetViews>
  <sheetFormatPr defaultRowHeight="15"/>
  <cols>
    <col min="1" max="1" width="21.4609375" bestFit="1" customWidth="1"/>
  </cols>
  <sheetData>
    <row r="1" spans="1:5" ht="15.5" thickBot="1"/>
    <row r="2" spans="1:5" ht="15.5" thickBot="1">
      <c r="A2" s="136" t="s">
        <v>388</v>
      </c>
      <c r="B2" s="137"/>
      <c r="C2" s="137"/>
      <c r="D2" s="137"/>
      <c r="E2" s="138"/>
    </row>
    <row r="3" spans="1:5" ht="15.5" thickBot="1">
      <c r="A3" s="108"/>
      <c r="B3" s="139" t="s">
        <v>343</v>
      </c>
      <c r="C3" s="139"/>
      <c r="D3" s="109" t="s">
        <v>338</v>
      </c>
      <c r="E3" s="110" t="s">
        <v>10</v>
      </c>
    </row>
    <row r="4" spans="1:5">
      <c r="A4" s="112" t="s">
        <v>378</v>
      </c>
      <c r="B4" s="111"/>
      <c r="C4" s="99"/>
      <c r="D4" s="99"/>
      <c r="E4" s="100">
        <f>C4*D4</f>
        <v>0</v>
      </c>
    </row>
    <row r="5" spans="1:5">
      <c r="A5" s="113" t="s">
        <v>389</v>
      </c>
      <c r="B5" s="95"/>
      <c r="C5" s="96"/>
      <c r="D5" s="96"/>
      <c r="E5" s="101">
        <f t="shared" ref="E5:E24" si="0">C5*D5</f>
        <v>0</v>
      </c>
    </row>
    <row r="6" spans="1:5">
      <c r="A6" s="113" t="s">
        <v>390</v>
      </c>
      <c r="B6" s="95"/>
      <c r="C6" s="96"/>
      <c r="D6" s="96"/>
      <c r="E6" s="101">
        <f t="shared" si="0"/>
        <v>0</v>
      </c>
    </row>
    <row r="7" spans="1:5">
      <c r="A7" s="113" t="s">
        <v>391</v>
      </c>
      <c r="B7" s="95"/>
      <c r="C7" s="96"/>
      <c r="D7" s="96"/>
      <c r="E7" s="101">
        <f t="shared" si="0"/>
        <v>0</v>
      </c>
    </row>
    <row r="8" spans="1:5">
      <c r="A8" s="113" t="s">
        <v>381</v>
      </c>
      <c r="B8" s="95"/>
      <c r="C8" s="96"/>
      <c r="D8" s="96"/>
      <c r="E8" s="101">
        <f t="shared" si="0"/>
        <v>0</v>
      </c>
    </row>
    <row r="9" spans="1:5">
      <c r="A9" s="113" t="s">
        <v>380</v>
      </c>
      <c r="B9" s="95"/>
      <c r="C9" s="96"/>
      <c r="D9" s="96"/>
      <c r="E9" s="101">
        <f t="shared" si="0"/>
        <v>0</v>
      </c>
    </row>
    <row r="10" spans="1:5">
      <c r="A10" s="113" t="s">
        <v>392</v>
      </c>
      <c r="B10" s="95"/>
      <c r="C10" s="96"/>
      <c r="D10" s="96"/>
      <c r="E10" s="101">
        <f t="shared" si="0"/>
        <v>0</v>
      </c>
    </row>
    <row r="11" spans="1:5">
      <c r="A11" s="113" t="s">
        <v>393</v>
      </c>
      <c r="B11" s="95"/>
      <c r="C11" s="96"/>
      <c r="D11" s="96"/>
      <c r="E11" s="101">
        <f t="shared" si="0"/>
        <v>0</v>
      </c>
    </row>
    <row r="12" spans="1:5">
      <c r="A12" s="113" t="s">
        <v>394</v>
      </c>
      <c r="B12" s="95"/>
      <c r="C12" s="96"/>
      <c r="D12" s="96"/>
      <c r="E12" s="101">
        <f t="shared" si="0"/>
        <v>0</v>
      </c>
    </row>
    <row r="13" spans="1:5">
      <c r="A13" s="113" t="s">
        <v>395</v>
      </c>
      <c r="B13" s="95"/>
      <c r="C13" s="96"/>
      <c r="D13" s="96"/>
      <c r="E13" s="101">
        <f t="shared" si="0"/>
        <v>0</v>
      </c>
    </row>
    <row r="14" spans="1:5">
      <c r="A14" s="113" t="s">
        <v>373</v>
      </c>
      <c r="B14" s="95"/>
      <c r="C14" s="96"/>
      <c r="D14" s="96"/>
      <c r="E14" s="101">
        <f t="shared" si="0"/>
        <v>0</v>
      </c>
    </row>
    <row r="15" spans="1:5">
      <c r="A15" s="113" t="s">
        <v>396</v>
      </c>
      <c r="B15" s="95"/>
      <c r="C15" s="96"/>
      <c r="D15" s="96"/>
      <c r="E15" s="101">
        <f t="shared" si="0"/>
        <v>0</v>
      </c>
    </row>
    <row r="16" spans="1:5">
      <c r="A16" s="113" t="s">
        <v>406</v>
      </c>
      <c r="B16" s="95"/>
      <c r="C16" s="96"/>
      <c r="D16" s="96"/>
      <c r="E16" s="101">
        <f t="shared" si="0"/>
        <v>0</v>
      </c>
    </row>
    <row r="17" spans="1:5">
      <c r="A17" s="113" t="s">
        <v>409</v>
      </c>
      <c r="B17" s="95"/>
      <c r="C17" s="96"/>
      <c r="D17" s="96"/>
      <c r="E17" s="101">
        <f t="shared" si="0"/>
        <v>0</v>
      </c>
    </row>
    <row r="18" spans="1:5">
      <c r="A18" s="113" t="s">
        <v>410</v>
      </c>
      <c r="B18" s="95"/>
      <c r="C18" s="96"/>
      <c r="D18" s="96"/>
      <c r="E18" s="101">
        <f t="shared" si="0"/>
        <v>0</v>
      </c>
    </row>
    <row r="19" spans="1:5">
      <c r="A19" s="113" t="s">
        <v>397</v>
      </c>
      <c r="B19" s="95"/>
      <c r="C19" s="96"/>
      <c r="D19" s="96"/>
      <c r="E19" s="101">
        <f t="shared" si="0"/>
        <v>0</v>
      </c>
    </row>
    <row r="20" spans="1:5">
      <c r="A20" s="113" t="s">
        <v>386</v>
      </c>
      <c r="B20" s="95"/>
      <c r="C20" s="96"/>
      <c r="D20" s="96"/>
      <c r="E20" s="101">
        <f t="shared" si="0"/>
        <v>0</v>
      </c>
    </row>
    <row r="21" spans="1:5">
      <c r="A21" s="113" t="s">
        <v>398</v>
      </c>
      <c r="B21" s="95"/>
      <c r="C21" s="96"/>
      <c r="D21" s="96"/>
      <c r="E21" s="101">
        <f t="shared" si="0"/>
        <v>0</v>
      </c>
    </row>
    <row r="22" spans="1:5">
      <c r="A22" s="113" t="s">
        <v>399</v>
      </c>
      <c r="B22" s="95"/>
      <c r="C22" s="96"/>
      <c r="D22" s="96"/>
      <c r="E22" s="101">
        <f t="shared" si="0"/>
        <v>0</v>
      </c>
    </row>
    <row r="23" spans="1:5">
      <c r="A23" s="113" t="s">
        <v>400</v>
      </c>
      <c r="B23" s="95"/>
      <c r="C23" s="96"/>
      <c r="D23" s="96"/>
      <c r="E23" s="101">
        <f t="shared" si="0"/>
        <v>0</v>
      </c>
    </row>
    <row r="24" spans="1:5">
      <c r="A24" s="113" t="s">
        <v>401</v>
      </c>
      <c r="B24" s="95"/>
      <c r="C24" s="96"/>
      <c r="D24" s="96"/>
      <c r="E24" s="101">
        <f t="shared" si="0"/>
        <v>0</v>
      </c>
    </row>
    <row r="25" spans="1:5">
      <c r="A25" s="102"/>
      <c r="B25" s="96"/>
      <c r="C25" s="96"/>
      <c r="D25" s="96"/>
      <c r="E25" s="101"/>
    </row>
    <row r="26" spans="1:5" ht="15.5" thickBot="1">
      <c r="A26" s="103"/>
      <c r="B26" s="104"/>
      <c r="C26" s="104"/>
      <c r="D26" s="104"/>
      <c r="E26" s="105"/>
    </row>
    <row r="27" spans="1:5">
      <c r="A27" s="106"/>
      <c r="B27" s="107"/>
      <c r="C27" s="107"/>
      <c r="D27" s="107"/>
      <c r="E27" s="107"/>
    </row>
    <row r="28" spans="1:5">
      <c r="A28" s="106"/>
      <c r="B28" s="107"/>
      <c r="C28" s="107"/>
      <c r="D28" s="107"/>
      <c r="E28" s="107"/>
    </row>
    <row r="29" spans="1:5">
      <c r="A29" s="106"/>
      <c r="B29" s="107"/>
      <c r="C29" s="107"/>
      <c r="D29" s="107"/>
      <c r="E29" s="107"/>
    </row>
    <row r="30" spans="1:5">
      <c r="C30" t="s">
        <v>340</v>
      </c>
      <c r="E30">
        <f>SUM(E25)</f>
        <v>0</v>
      </c>
    </row>
    <row r="31" spans="1:5">
      <c r="C31" t="s">
        <v>341</v>
      </c>
    </row>
  </sheetData>
  <mergeCells count="2">
    <mergeCell ref="A2:E2"/>
    <mergeCell ref="B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1"/>
  <sheetViews>
    <sheetView workbookViewId="0">
      <selection activeCell="B4" sqref="B4:B16"/>
    </sheetView>
  </sheetViews>
  <sheetFormatPr defaultRowHeight="15"/>
  <cols>
    <col min="1" max="1" width="21.4609375" bestFit="1" customWidth="1"/>
  </cols>
  <sheetData>
    <row r="1" spans="1:5" ht="15.5" thickBot="1"/>
    <row r="2" spans="1:5" ht="15.5" thickBot="1">
      <c r="A2" s="136" t="s">
        <v>402</v>
      </c>
      <c r="B2" s="137"/>
      <c r="C2" s="137"/>
      <c r="D2" s="137"/>
      <c r="E2" s="138"/>
    </row>
    <row r="3" spans="1:5" ht="15.5" thickBot="1">
      <c r="A3" s="108"/>
      <c r="B3" s="139" t="s">
        <v>343</v>
      </c>
      <c r="C3" s="139"/>
      <c r="D3" s="109" t="s">
        <v>338</v>
      </c>
      <c r="E3" s="110" t="s">
        <v>10</v>
      </c>
    </row>
    <row r="4" spans="1:5">
      <c r="A4" s="112" t="s">
        <v>403</v>
      </c>
      <c r="B4" s="111"/>
      <c r="C4" s="99">
        <f>B4/1000</f>
        <v>0</v>
      </c>
      <c r="D4" s="99"/>
      <c r="E4" s="100">
        <f>C4*D4</f>
        <v>0</v>
      </c>
    </row>
    <row r="5" spans="1:5">
      <c r="A5" s="113" t="s">
        <v>396</v>
      </c>
      <c r="B5" s="95"/>
      <c r="C5" s="96">
        <f t="shared" ref="C5:C16" si="0">B5/1000</f>
        <v>0</v>
      </c>
      <c r="D5" s="96"/>
      <c r="E5" s="101">
        <f t="shared" ref="E5:E16" si="1">C5*D5</f>
        <v>0</v>
      </c>
    </row>
    <row r="6" spans="1:5">
      <c r="A6" s="113" t="s">
        <v>374</v>
      </c>
      <c r="B6" s="95"/>
      <c r="C6" s="96">
        <f t="shared" si="0"/>
        <v>0</v>
      </c>
      <c r="D6" s="96"/>
      <c r="E6" s="101">
        <f t="shared" si="1"/>
        <v>0</v>
      </c>
    </row>
    <row r="7" spans="1:5">
      <c r="A7" s="113" t="s">
        <v>379</v>
      </c>
      <c r="B7" s="95"/>
      <c r="C7" s="96">
        <f t="shared" si="0"/>
        <v>0</v>
      </c>
      <c r="D7" s="96"/>
      <c r="E7" s="101">
        <f t="shared" si="1"/>
        <v>0</v>
      </c>
    </row>
    <row r="8" spans="1:5">
      <c r="A8" s="113" t="s">
        <v>381</v>
      </c>
      <c r="B8" s="95"/>
      <c r="C8" s="96">
        <f t="shared" si="0"/>
        <v>0</v>
      </c>
      <c r="D8" s="96"/>
      <c r="E8" s="101">
        <f t="shared" si="1"/>
        <v>0</v>
      </c>
    </row>
    <row r="9" spans="1:5">
      <c r="A9" s="113" t="s">
        <v>397</v>
      </c>
      <c r="B9" s="95"/>
      <c r="C9" s="96">
        <v>5</v>
      </c>
      <c r="D9" s="96"/>
      <c r="E9" s="101">
        <f t="shared" si="1"/>
        <v>0</v>
      </c>
    </row>
    <row r="10" spans="1:5">
      <c r="A10" s="113" t="s">
        <v>404</v>
      </c>
      <c r="B10" s="95"/>
      <c r="C10" s="96">
        <f t="shared" si="0"/>
        <v>0</v>
      </c>
      <c r="D10" s="96"/>
      <c r="E10" s="101">
        <f t="shared" si="1"/>
        <v>0</v>
      </c>
    </row>
    <row r="11" spans="1:5">
      <c r="A11" s="113" t="s">
        <v>405</v>
      </c>
      <c r="B11" s="95"/>
      <c r="C11" s="96">
        <f t="shared" si="0"/>
        <v>0</v>
      </c>
      <c r="D11" s="96"/>
      <c r="E11" s="101">
        <f t="shared" si="1"/>
        <v>0</v>
      </c>
    </row>
    <row r="12" spans="1:5">
      <c r="A12" s="113" t="s">
        <v>406</v>
      </c>
      <c r="B12" s="95"/>
      <c r="C12" s="96">
        <f t="shared" si="0"/>
        <v>0</v>
      </c>
      <c r="D12" s="96"/>
      <c r="E12" s="101">
        <f t="shared" si="1"/>
        <v>0</v>
      </c>
    </row>
    <row r="13" spans="1:5">
      <c r="A13" s="113" t="s">
        <v>407</v>
      </c>
      <c r="B13" s="95"/>
      <c r="C13" s="96">
        <f t="shared" si="0"/>
        <v>0</v>
      </c>
      <c r="D13" s="96"/>
      <c r="E13" s="101">
        <f t="shared" si="1"/>
        <v>0</v>
      </c>
    </row>
    <row r="14" spans="1:5">
      <c r="A14" s="113" t="s">
        <v>386</v>
      </c>
      <c r="B14" s="95"/>
      <c r="C14" s="96">
        <f t="shared" si="0"/>
        <v>0</v>
      </c>
      <c r="D14" s="96"/>
      <c r="E14" s="101">
        <f t="shared" si="1"/>
        <v>0</v>
      </c>
    </row>
    <row r="15" spans="1:5">
      <c r="A15" s="113" t="s">
        <v>408</v>
      </c>
      <c r="B15" s="95"/>
      <c r="C15" s="96">
        <f t="shared" si="0"/>
        <v>0</v>
      </c>
      <c r="D15" s="96"/>
      <c r="E15" s="101">
        <f t="shared" si="1"/>
        <v>0</v>
      </c>
    </row>
    <row r="16" spans="1:5">
      <c r="A16" s="113" t="s">
        <v>387</v>
      </c>
      <c r="B16" s="95"/>
      <c r="C16" s="96">
        <f t="shared" si="0"/>
        <v>0</v>
      </c>
      <c r="D16" s="96"/>
      <c r="E16" s="101">
        <f t="shared" si="1"/>
        <v>0</v>
      </c>
    </row>
    <row r="17" spans="1:5">
      <c r="A17" s="113"/>
      <c r="B17" s="95"/>
      <c r="C17" s="96"/>
      <c r="D17" s="96"/>
      <c r="E17" s="101"/>
    </row>
    <row r="18" spans="1:5" ht="15.5" thickBot="1">
      <c r="A18" s="114"/>
      <c r="B18" s="104"/>
      <c r="C18" s="104"/>
      <c r="D18" s="104"/>
      <c r="E18" s="105"/>
    </row>
    <row r="19" spans="1:5">
      <c r="A19" s="106"/>
      <c r="B19" s="107"/>
      <c r="C19" s="107"/>
      <c r="D19" s="107"/>
      <c r="E19" s="107"/>
    </row>
    <row r="20" spans="1:5">
      <c r="C20" t="s">
        <v>340</v>
      </c>
      <c r="E20">
        <f>SUM(E4:E19)</f>
        <v>0</v>
      </c>
    </row>
    <row r="21" spans="1:5">
      <c r="C21" t="s">
        <v>341</v>
      </c>
    </row>
  </sheetData>
  <mergeCells count="2">
    <mergeCell ref="A2:E2"/>
    <mergeCell ref="B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8"/>
  <sheetViews>
    <sheetView workbookViewId="0">
      <selection activeCell="B4" sqref="B4:B19"/>
    </sheetView>
  </sheetViews>
  <sheetFormatPr defaultRowHeight="15"/>
  <cols>
    <col min="1" max="1" width="29.61328125" bestFit="1" customWidth="1"/>
  </cols>
  <sheetData>
    <row r="1" spans="1:5" ht="15.5" thickBot="1"/>
    <row r="2" spans="1:5" ht="15.5" thickBot="1">
      <c r="A2" s="136" t="s">
        <v>415</v>
      </c>
      <c r="B2" s="137"/>
      <c r="C2" s="137"/>
      <c r="D2" s="137"/>
      <c r="E2" s="138"/>
    </row>
    <row r="3" spans="1:5" ht="15.5" thickBot="1">
      <c r="A3" s="108"/>
      <c r="B3" s="139" t="s">
        <v>343</v>
      </c>
      <c r="C3" s="139"/>
      <c r="D3" s="109" t="s">
        <v>338</v>
      </c>
      <c r="E3" s="110" t="s">
        <v>10</v>
      </c>
    </row>
    <row r="4" spans="1:5">
      <c r="A4" s="112" t="s">
        <v>372</v>
      </c>
      <c r="B4" s="111"/>
      <c r="C4" s="99">
        <f>B4/1000</f>
        <v>0</v>
      </c>
      <c r="D4" s="99"/>
      <c r="E4" s="100">
        <f>C4*D4</f>
        <v>0</v>
      </c>
    </row>
    <row r="5" spans="1:5">
      <c r="A5" s="113" t="s">
        <v>411</v>
      </c>
      <c r="B5" s="95"/>
      <c r="C5" s="96">
        <f t="shared" ref="C5:C21" si="0">B5/1000</f>
        <v>0</v>
      </c>
      <c r="D5" s="96"/>
      <c r="E5" s="101">
        <f t="shared" ref="E5:E21" si="1">C5*D5</f>
        <v>0</v>
      </c>
    </row>
    <row r="6" spans="1:5">
      <c r="A6" s="113" t="s">
        <v>400</v>
      </c>
      <c r="B6" s="95"/>
      <c r="C6" s="96">
        <f t="shared" si="0"/>
        <v>0</v>
      </c>
      <c r="D6" s="96"/>
      <c r="E6" s="101">
        <f t="shared" si="1"/>
        <v>0</v>
      </c>
    </row>
    <row r="7" spans="1:5">
      <c r="A7" s="113" t="s">
        <v>412</v>
      </c>
      <c r="B7" s="95"/>
      <c r="C7" s="96">
        <f t="shared" si="0"/>
        <v>0</v>
      </c>
      <c r="D7" s="96"/>
      <c r="E7" s="101">
        <f t="shared" si="1"/>
        <v>0</v>
      </c>
    </row>
    <row r="8" spans="1:5">
      <c r="A8" s="113" t="s">
        <v>390</v>
      </c>
      <c r="B8" s="95"/>
      <c r="C8" s="96">
        <f t="shared" si="0"/>
        <v>0</v>
      </c>
      <c r="D8" s="96"/>
      <c r="E8" s="101">
        <f t="shared" si="1"/>
        <v>0</v>
      </c>
    </row>
    <row r="9" spans="1:5">
      <c r="A9" s="113" t="s">
        <v>378</v>
      </c>
      <c r="B9" s="95"/>
      <c r="C9" s="96">
        <v>5</v>
      </c>
      <c r="D9" s="96"/>
      <c r="E9" s="101">
        <f t="shared" si="1"/>
        <v>0</v>
      </c>
    </row>
    <row r="10" spans="1:5">
      <c r="A10" s="113" t="s">
        <v>379</v>
      </c>
      <c r="B10" s="95"/>
      <c r="C10" s="96">
        <f t="shared" si="0"/>
        <v>0</v>
      </c>
      <c r="D10" s="96"/>
      <c r="E10" s="101">
        <f t="shared" si="1"/>
        <v>0</v>
      </c>
    </row>
    <row r="11" spans="1:5">
      <c r="A11" s="113" t="s">
        <v>381</v>
      </c>
      <c r="B11" s="95"/>
      <c r="C11" s="96">
        <f t="shared" si="0"/>
        <v>0</v>
      </c>
      <c r="D11" s="96"/>
      <c r="E11" s="101">
        <f t="shared" si="1"/>
        <v>0</v>
      </c>
    </row>
    <row r="12" spans="1:5">
      <c r="A12" s="113" t="s">
        <v>397</v>
      </c>
      <c r="B12" s="95"/>
      <c r="C12" s="96">
        <f t="shared" si="0"/>
        <v>0</v>
      </c>
      <c r="D12" s="96"/>
      <c r="E12" s="101">
        <f t="shared" si="1"/>
        <v>0</v>
      </c>
    </row>
    <row r="13" spans="1:5">
      <c r="A13" s="113" t="s">
        <v>406</v>
      </c>
      <c r="B13" s="95"/>
      <c r="C13" s="96">
        <f t="shared" si="0"/>
        <v>0</v>
      </c>
      <c r="D13" s="96"/>
      <c r="E13" s="101">
        <f t="shared" si="1"/>
        <v>0</v>
      </c>
    </row>
    <row r="14" spans="1:5">
      <c r="A14" s="113" t="s">
        <v>409</v>
      </c>
      <c r="B14" s="95"/>
      <c r="C14" s="96">
        <f t="shared" si="0"/>
        <v>0</v>
      </c>
      <c r="D14" s="96"/>
      <c r="E14" s="101">
        <f t="shared" si="1"/>
        <v>0</v>
      </c>
    </row>
    <row r="15" spans="1:5">
      <c r="A15" s="113" t="s">
        <v>410</v>
      </c>
      <c r="B15" s="95"/>
      <c r="C15" s="96">
        <f t="shared" si="0"/>
        <v>0</v>
      </c>
      <c r="D15" s="96"/>
      <c r="E15" s="101">
        <f t="shared" si="1"/>
        <v>0</v>
      </c>
    </row>
    <row r="16" spans="1:5">
      <c r="A16" s="113" t="s">
        <v>413</v>
      </c>
      <c r="B16" s="95"/>
      <c r="C16" s="96">
        <f t="shared" si="0"/>
        <v>0</v>
      </c>
      <c r="D16" s="96"/>
      <c r="E16" s="101">
        <f t="shared" si="1"/>
        <v>0</v>
      </c>
    </row>
    <row r="17" spans="1:5">
      <c r="A17" s="113" t="s">
        <v>403</v>
      </c>
      <c r="B17" s="95"/>
      <c r="C17" s="96">
        <f t="shared" si="0"/>
        <v>0</v>
      </c>
      <c r="D17" s="96"/>
      <c r="E17" s="101">
        <f t="shared" si="1"/>
        <v>0</v>
      </c>
    </row>
    <row r="18" spans="1:5">
      <c r="A18" s="113" t="s">
        <v>414</v>
      </c>
      <c r="B18" s="95"/>
      <c r="C18" s="96">
        <f t="shared" si="0"/>
        <v>0</v>
      </c>
      <c r="D18" s="96"/>
      <c r="E18" s="101">
        <f t="shared" si="1"/>
        <v>0</v>
      </c>
    </row>
    <row r="19" spans="1:5">
      <c r="A19" s="113" t="s">
        <v>387</v>
      </c>
      <c r="B19" s="95"/>
      <c r="C19" s="96">
        <f t="shared" si="0"/>
        <v>0</v>
      </c>
      <c r="D19" s="96"/>
      <c r="E19" s="101">
        <f t="shared" si="1"/>
        <v>0</v>
      </c>
    </row>
    <row r="20" spans="1:5">
      <c r="A20" s="113" t="s">
        <v>386</v>
      </c>
      <c r="B20" s="95"/>
      <c r="C20" s="96">
        <f t="shared" si="0"/>
        <v>0</v>
      </c>
      <c r="D20" s="96"/>
      <c r="E20" s="101">
        <f t="shared" si="1"/>
        <v>0</v>
      </c>
    </row>
    <row r="21" spans="1:5">
      <c r="A21" s="113"/>
      <c r="B21" s="95"/>
      <c r="C21" s="96">
        <f t="shared" si="0"/>
        <v>0</v>
      </c>
      <c r="D21" s="96"/>
      <c r="E21" s="101">
        <f t="shared" si="1"/>
        <v>0</v>
      </c>
    </row>
    <row r="22" spans="1:5">
      <c r="A22" s="102"/>
      <c r="B22" s="96"/>
      <c r="C22" s="96"/>
      <c r="D22" s="96"/>
      <c r="E22" s="101"/>
    </row>
    <row r="23" spans="1:5" ht="15.5" thickBot="1">
      <c r="A23" s="103"/>
      <c r="B23" s="104"/>
      <c r="C23" s="104"/>
      <c r="D23" s="104"/>
      <c r="E23" s="105"/>
    </row>
    <row r="24" spans="1:5">
      <c r="A24" s="106"/>
      <c r="B24" s="107"/>
      <c r="C24" s="107"/>
      <c r="D24" s="107"/>
      <c r="E24" s="107"/>
    </row>
    <row r="25" spans="1:5">
      <c r="A25" s="106"/>
      <c r="B25" s="107"/>
      <c r="C25" s="107"/>
      <c r="D25" s="107"/>
      <c r="E25" s="107"/>
    </row>
    <row r="26" spans="1:5">
      <c r="A26" s="106"/>
      <c r="B26" s="107"/>
      <c r="C26" s="107"/>
      <c r="D26" s="107"/>
      <c r="E26" s="107"/>
    </row>
    <row r="27" spans="1:5">
      <c r="C27" t="s">
        <v>340</v>
      </c>
      <c r="E27">
        <f>SUM(E22)</f>
        <v>0</v>
      </c>
    </row>
    <row r="28" spans="1:5">
      <c r="C28" t="s">
        <v>341</v>
      </c>
    </row>
  </sheetData>
  <mergeCells count="2">
    <mergeCell ref="A2:E2"/>
    <mergeCell ref="B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5"/>
  <sheetViews>
    <sheetView workbookViewId="0">
      <selection activeCell="B4" sqref="B4:B19"/>
    </sheetView>
  </sheetViews>
  <sheetFormatPr defaultRowHeight="15"/>
  <cols>
    <col min="1" max="1" width="29.61328125" bestFit="1" customWidth="1"/>
  </cols>
  <sheetData>
    <row r="1" spans="1:5" ht="15.5" thickBot="1"/>
    <row r="2" spans="1:5" ht="15.5" thickBot="1">
      <c r="A2" s="136" t="s">
        <v>416</v>
      </c>
      <c r="B2" s="137"/>
      <c r="C2" s="137"/>
      <c r="D2" s="137"/>
      <c r="E2" s="138"/>
    </row>
    <row r="3" spans="1:5" ht="15.5" thickBot="1">
      <c r="A3" s="108"/>
      <c r="B3" s="139" t="s">
        <v>343</v>
      </c>
      <c r="C3" s="139"/>
      <c r="D3" s="109" t="s">
        <v>338</v>
      </c>
      <c r="E3" s="110" t="s">
        <v>10</v>
      </c>
    </row>
    <row r="4" spans="1:5">
      <c r="A4" s="112" t="s">
        <v>377</v>
      </c>
      <c r="B4" s="111"/>
      <c r="C4" s="99">
        <f>B4/1000</f>
        <v>0</v>
      </c>
      <c r="D4" s="99"/>
      <c r="E4" s="100">
        <f>C4*D4</f>
        <v>0</v>
      </c>
    </row>
    <row r="5" spans="1:5">
      <c r="A5" s="113" t="s">
        <v>379</v>
      </c>
      <c r="B5" s="95"/>
      <c r="C5" s="96">
        <f t="shared" ref="C5:C18" si="0">B5/1000</f>
        <v>0</v>
      </c>
      <c r="D5" s="96"/>
      <c r="E5" s="101">
        <f t="shared" ref="E5:E18" si="1">C5*D5</f>
        <v>0</v>
      </c>
    </row>
    <row r="6" spans="1:5">
      <c r="A6" s="113" t="s">
        <v>381</v>
      </c>
      <c r="B6" s="95"/>
      <c r="C6" s="96">
        <f t="shared" si="0"/>
        <v>0</v>
      </c>
      <c r="D6" s="96"/>
      <c r="E6" s="101">
        <f t="shared" si="1"/>
        <v>0</v>
      </c>
    </row>
    <row r="7" spans="1:5">
      <c r="A7" s="113" t="s">
        <v>384</v>
      </c>
      <c r="B7" s="95"/>
      <c r="C7" s="96">
        <f t="shared" si="0"/>
        <v>0</v>
      </c>
      <c r="D7" s="96"/>
      <c r="E7" s="101">
        <f t="shared" si="1"/>
        <v>0</v>
      </c>
    </row>
    <row r="8" spans="1:5">
      <c r="A8" s="113" t="s">
        <v>380</v>
      </c>
      <c r="B8" s="95"/>
      <c r="C8" s="96">
        <f t="shared" si="0"/>
        <v>0</v>
      </c>
      <c r="D8" s="96"/>
      <c r="E8" s="101">
        <f t="shared" si="1"/>
        <v>0</v>
      </c>
    </row>
    <row r="9" spans="1:5">
      <c r="A9" s="113" t="s">
        <v>417</v>
      </c>
      <c r="B9" s="95"/>
      <c r="C9" s="96">
        <v>5</v>
      </c>
      <c r="D9" s="96"/>
      <c r="E9" s="101">
        <f t="shared" si="1"/>
        <v>0</v>
      </c>
    </row>
    <row r="10" spans="1:5">
      <c r="A10" s="113" t="s">
        <v>372</v>
      </c>
      <c r="B10" s="95"/>
      <c r="C10" s="96">
        <f t="shared" si="0"/>
        <v>0</v>
      </c>
      <c r="D10" s="96"/>
      <c r="E10" s="101">
        <f t="shared" si="1"/>
        <v>0</v>
      </c>
    </row>
    <row r="11" spans="1:5">
      <c r="A11" s="113" t="s">
        <v>373</v>
      </c>
      <c r="B11" s="95"/>
      <c r="C11" s="96">
        <f t="shared" si="0"/>
        <v>0</v>
      </c>
      <c r="D11" s="96"/>
      <c r="E11" s="101">
        <f t="shared" si="1"/>
        <v>0</v>
      </c>
    </row>
    <row r="12" spans="1:5">
      <c r="A12" s="113" t="s">
        <v>374</v>
      </c>
      <c r="B12" s="95"/>
      <c r="C12" s="96">
        <f t="shared" si="0"/>
        <v>0</v>
      </c>
      <c r="D12" s="96"/>
      <c r="E12" s="101">
        <f t="shared" si="1"/>
        <v>0</v>
      </c>
    </row>
    <row r="13" spans="1:5">
      <c r="A13" s="113" t="s">
        <v>418</v>
      </c>
      <c r="B13" s="95"/>
      <c r="C13" s="96">
        <f t="shared" si="0"/>
        <v>0</v>
      </c>
      <c r="D13" s="96"/>
      <c r="E13" s="101">
        <f t="shared" si="1"/>
        <v>0</v>
      </c>
    </row>
    <row r="14" spans="1:5">
      <c r="A14" s="113" t="s">
        <v>386</v>
      </c>
      <c r="B14" s="95"/>
      <c r="C14" s="96">
        <f t="shared" si="0"/>
        <v>0</v>
      </c>
      <c r="D14" s="96"/>
      <c r="E14" s="101">
        <f t="shared" si="1"/>
        <v>0</v>
      </c>
    </row>
    <row r="15" spans="1:5">
      <c r="A15" s="113" t="s">
        <v>403</v>
      </c>
      <c r="B15" s="95"/>
      <c r="C15" s="96">
        <f t="shared" si="0"/>
        <v>0</v>
      </c>
      <c r="D15" s="96"/>
      <c r="E15" s="101">
        <f t="shared" si="1"/>
        <v>0</v>
      </c>
    </row>
    <row r="16" spans="1:5">
      <c r="A16" s="113" t="s">
        <v>419</v>
      </c>
      <c r="B16" s="95"/>
      <c r="C16" s="96">
        <f t="shared" si="0"/>
        <v>0</v>
      </c>
      <c r="D16" s="96"/>
      <c r="E16" s="101">
        <f t="shared" si="1"/>
        <v>0</v>
      </c>
    </row>
    <row r="17" spans="1:5">
      <c r="A17" s="113" t="s">
        <v>387</v>
      </c>
      <c r="B17" s="95"/>
      <c r="C17" s="96">
        <f t="shared" si="0"/>
        <v>0</v>
      </c>
      <c r="D17" s="96"/>
      <c r="E17" s="101">
        <f t="shared" si="1"/>
        <v>0</v>
      </c>
    </row>
    <row r="18" spans="1:5">
      <c r="A18" s="113" t="s">
        <v>376</v>
      </c>
      <c r="B18" s="95"/>
      <c r="C18" s="96">
        <f t="shared" si="0"/>
        <v>0</v>
      </c>
      <c r="D18" s="96"/>
      <c r="E18" s="101">
        <f t="shared" si="1"/>
        <v>0</v>
      </c>
    </row>
    <row r="19" spans="1:5">
      <c r="A19" s="113"/>
      <c r="B19" s="95"/>
      <c r="C19" s="96"/>
      <c r="D19" s="96"/>
      <c r="E19" s="101"/>
    </row>
    <row r="20" spans="1:5" ht="15.5" thickBot="1">
      <c r="A20" s="103"/>
      <c r="B20" s="104"/>
      <c r="C20" s="104"/>
      <c r="D20" s="104"/>
      <c r="E20" s="105"/>
    </row>
    <row r="21" spans="1:5">
      <c r="A21" s="106"/>
      <c r="B21" s="107"/>
      <c r="C21" s="107"/>
      <c r="D21" s="107"/>
      <c r="E21" s="107"/>
    </row>
    <row r="22" spans="1:5">
      <c r="A22" s="106"/>
      <c r="B22" s="107"/>
      <c r="C22" s="107"/>
      <c r="D22" s="107"/>
      <c r="E22" s="107"/>
    </row>
    <row r="23" spans="1:5">
      <c r="A23" s="106"/>
      <c r="B23" s="107"/>
      <c r="C23" s="107"/>
      <c r="D23" s="107"/>
      <c r="E23" s="107"/>
    </row>
    <row r="24" spans="1:5">
      <c r="C24" t="s">
        <v>340</v>
      </c>
      <c r="E24" t="e">
        <f>SUM(#REF!)</f>
        <v>#REF!</v>
      </c>
    </row>
    <row r="25" spans="1:5">
      <c r="C25" t="s">
        <v>341</v>
      </c>
    </row>
  </sheetData>
  <mergeCells count="2">
    <mergeCell ref="A2:E2"/>
    <mergeCell ref="B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7"/>
  <sheetViews>
    <sheetView workbookViewId="0">
      <selection activeCell="B4" sqref="B4:C18"/>
    </sheetView>
  </sheetViews>
  <sheetFormatPr defaultRowHeight="15"/>
  <cols>
    <col min="1" max="1" width="29.61328125" bestFit="1" customWidth="1"/>
  </cols>
  <sheetData>
    <row r="1" spans="1:5" ht="15.5" thickBot="1"/>
    <row r="2" spans="1:5" ht="15.5" thickBot="1">
      <c r="A2" s="136" t="s">
        <v>420</v>
      </c>
      <c r="B2" s="137"/>
      <c r="C2" s="137"/>
      <c r="D2" s="137"/>
      <c r="E2" s="138"/>
    </row>
    <row r="3" spans="1:5" ht="15.5" thickBot="1">
      <c r="A3" s="108"/>
      <c r="B3" s="139" t="s">
        <v>343</v>
      </c>
      <c r="C3" s="139"/>
      <c r="D3" s="109" t="s">
        <v>338</v>
      </c>
      <c r="E3" s="110" t="s">
        <v>10</v>
      </c>
    </row>
    <row r="4" spans="1:5">
      <c r="A4" s="112" t="s">
        <v>377</v>
      </c>
      <c r="B4" s="111"/>
      <c r="C4" s="99"/>
      <c r="D4" s="99"/>
      <c r="E4" s="100">
        <f>C4*D4</f>
        <v>0</v>
      </c>
    </row>
    <row r="5" spans="1:5">
      <c r="A5" s="113" t="s">
        <v>378</v>
      </c>
      <c r="B5" s="95"/>
      <c r="C5" s="96"/>
      <c r="D5" s="96"/>
      <c r="E5" s="101">
        <f t="shared" ref="E5:E20" si="0">C5*D5</f>
        <v>0</v>
      </c>
    </row>
    <row r="6" spans="1:5">
      <c r="A6" s="113" t="s">
        <v>379</v>
      </c>
      <c r="B6" s="95"/>
      <c r="C6" s="96"/>
      <c r="D6" s="96"/>
      <c r="E6" s="101">
        <f t="shared" si="0"/>
        <v>0</v>
      </c>
    </row>
    <row r="7" spans="1:5">
      <c r="A7" s="113" t="s">
        <v>374</v>
      </c>
      <c r="B7" s="95"/>
      <c r="C7" s="96"/>
      <c r="D7" s="96"/>
      <c r="E7" s="101">
        <f t="shared" si="0"/>
        <v>0</v>
      </c>
    </row>
    <row r="8" spans="1:5">
      <c r="A8" s="113" t="s">
        <v>397</v>
      </c>
      <c r="B8" s="95"/>
      <c r="C8" s="96"/>
      <c r="D8" s="96"/>
      <c r="E8" s="101">
        <f t="shared" si="0"/>
        <v>0</v>
      </c>
    </row>
    <row r="9" spans="1:5">
      <c r="A9" s="113" t="s">
        <v>381</v>
      </c>
      <c r="B9" s="95"/>
      <c r="C9" s="96"/>
      <c r="D9" s="96"/>
      <c r="E9" s="101">
        <f t="shared" si="0"/>
        <v>0</v>
      </c>
    </row>
    <row r="10" spans="1:5">
      <c r="A10" s="113" t="s">
        <v>372</v>
      </c>
      <c r="B10" s="95"/>
      <c r="C10" s="96"/>
      <c r="D10" s="96"/>
      <c r="E10" s="101">
        <f t="shared" si="0"/>
        <v>0</v>
      </c>
    </row>
    <row r="11" spans="1:5">
      <c r="A11" s="113" t="s">
        <v>403</v>
      </c>
      <c r="B11" s="95"/>
      <c r="C11" s="96"/>
      <c r="D11" s="96"/>
      <c r="E11" s="101">
        <f t="shared" si="0"/>
        <v>0</v>
      </c>
    </row>
    <row r="12" spans="1:5">
      <c r="A12" s="113" t="s">
        <v>373</v>
      </c>
      <c r="B12" s="95"/>
      <c r="C12" s="96"/>
      <c r="D12" s="96"/>
      <c r="E12" s="101">
        <f t="shared" si="0"/>
        <v>0</v>
      </c>
    </row>
    <row r="13" spans="1:5">
      <c r="A13" s="113" t="s">
        <v>421</v>
      </c>
      <c r="B13" s="95"/>
      <c r="C13" s="96"/>
      <c r="D13" s="96"/>
      <c r="E13" s="101">
        <f t="shared" si="0"/>
        <v>0</v>
      </c>
    </row>
    <row r="14" spans="1:5">
      <c r="A14" s="113" t="s">
        <v>376</v>
      </c>
      <c r="B14" s="95"/>
      <c r="C14" s="96"/>
      <c r="D14" s="96"/>
      <c r="E14" s="101">
        <f t="shared" si="0"/>
        <v>0</v>
      </c>
    </row>
    <row r="15" spans="1:5">
      <c r="A15" s="113" t="s">
        <v>406</v>
      </c>
      <c r="B15" s="95"/>
      <c r="C15" s="96"/>
      <c r="D15" s="96"/>
      <c r="E15" s="101">
        <f t="shared" si="0"/>
        <v>0</v>
      </c>
    </row>
    <row r="16" spans="1:5">
      <c r="A16" s="113" t="s">
        <v>422</v>
      </c>
      <c r="B16" s="95"/>
      <c r="C16" s="96"/>
      <c r="D16" s="96"/>
      <c r="E16" s="101">
        <f t="shared" si="0"/>
        <v>0</v>
      </c>
    </row>
    <row r="17" spans="1:5">
      <c r="A17" s="113" t="s">
        <v>419</v>
      </c>
      <c r="B17" s="95"/>
      <c r="C17" s="96"/>
      <c r="D17" s="96"/>
      <c r="E17" s="101">
        <f t="shared" si="0"/>
        <v>0</v>
      </c>
    </row>
    <row r="18" spans="1:5">
      <c r="A18" s="113" t="s">
        <v>405</v>
      </c>
      <c r="B18" s="95"/>
      <c r="C18" s="96"/>
      <c r="D18" s="96"/>
      <c r="E18" s="101">
        <f t="shared" si="0"/>
        <v>0</v>
      </c>
    </row>
    <row r="19" spans="1:5">
      <c r="A19" s="113" t="s">
        <v>386</v>
      </c>
      <c r="B19" s="95"/>
      <c r="C19" s="96">
        <f t="shared" ref="C5:C20" si="1">B19/1000</f>
        <v>0</v>
      </c>
      <c r="D19" s="96"/>
      <c r="E19" s="101">
        <f t="shared" si="0"/>
        <v>0</v>
      </c>
    </row>
    <row r="20" spans="1:5">
      <c r="A20" s="113"/>
      <c r="B20" s="95"/>
      <c r="C20" s="96">
        <f t="shared" si="1"/>
        <v>0</v>
      </c>
      <c r="D20" s="96"/>
      <c r="E20" s="101">
        <f t="shared" si="0"/>
        <v>0</v>
      </c>
    </row>
    <row r="21" spans="1:5">
      <c r="A21" s="102"/>
      <c r="B21" s="96"/>
      <c r="C21" s="96"/>
      <c r="D21" s="96"/>
      <c r="E21" s="101"/>
    </row>
    <row r="22" spans="1:5" ht="15.5" thickBot="1">
      <c r="A22" s="103"/>
      <c r="B22" s="104"/>
      <c r="C22" s="104"/>
      <c r="D22" s="104"/>
      <c r="E22" s="105"/>
    </row>
    <row r="23" spans="1:5">
      <c r="A23" s="106"/>
      <c r="B23" s="107"/>
      <c r="C23" s="107"/>
      <c r="D23" s="107"/>
      <c r="E23" s="107"/>
    </row>
    <row r="24" spans="1:5">
      <c r="A24" s="106"/>
      <c r="B24" s="107"/>
      <c r="C24" s="107"/>
      <c r="D24" s="107"/>
      <c r="E24" s="107"/>
    </row>
    <row r="25" spans="1:5">
      <c r="A25" s="106"/>
      <c r="B25" s="107"/>
      <c r="C25" s="107"/>
      <c r="D25" s="107"/>
      <c r="E25" s="107"/>
    </row>
    <row r="26" spans="1:5">
      <c r="C26" t="s">
        <v>340</v>
      </c>
      <c r="E26">
        <f>SUM(E21)</f>
        <v>0</v>
      </c>
    </row>
    <row r="27" spans="1:5">
      <c r="C27" t="s">
        <v>341</v>
      </c>
    </row>
  </sheetData>
  <mergeCells count="2">
    <mergeCell ref="A2:E2"/>
    <mergeCell ref="B3: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1"/>
  <sheetViews>
    <sheetView workbookViewId="0">
      <selection activeCell="B4" sqref="B4:C24"/>
    </sheetView>
  </sheetViews>
  <sheetFormatPr defaultRowHeight="15"/>
  <cols>
    <col min="1" max="1" width="21.4609375" bestFit="1" customWidth="1"/>
  </cols>
  <sheetData>
    <row r="1" spans="1:5" ht="15.5" thickBot="1"/>
    <row r="2" spans="1:5" ht="15.5" thickBot="1">
      <c r="A2" s="136" t="s">
        <v>423</v>
      </c>
      <c r="B2" s="137"/>
      <c r="C2" s="137"/>
      <c r="D2" s="137"/>
      <c r="E2" s="138"/>
    </row>
    <row r="3" spans="1:5" ht="15.5" thickBot="1">
      <c r="A3" s="108"/>
      <c r="B3" s="139" t="s">
        <v>343</v>
      </c>
      <c r="C3" s="139"/>
      <c r="D3" s="109" t="s">
        <v>338</v>
      </c>
      <c r="E3" s="110" t="s">
        <v>10</v>
      </c>
    </row>
    <row r="4" spans="1:5">
      <c r="A4" s="112" t="s">
        <v>377</v>
      </c>
      <c r="B4" s="111"/>
      <c r="C4" s="99"/>
      <c r="D4" s="99"/>
      <c r="E4" s="100">
        <f>C4*D4</f>
        <v>0</v>
      </c>
    </row>
    <row r="5" spans="1:5">
      <c r="A5" s="113" t="s">
        <v>378</v>
      </c>
      <c r="B5" s="95"/>
      <c r="C5" s="96"/>
      <c r="D5" s="96"/>
      <c r="E5" s="101">
        <f t="shared" ref="E5:E24" si="0">C5*D5</f>
        <v>0</v>
      </c>
    </row>
    <row r="6" spans="1:5">
      <c r="A6" s="113" t="s">
        <v>379</v>
      </c>
      <c r="B6" s="95"/>
      <c r="C6" s="96"/>
      <c r="D6" s="96"/>
      <c r="E6" s="101">
        <f t="shared" si="0"/>
        <v>0</v>
      </c>
    </row>
    <row r="7" spans="1:5">
      <c r="A7" s="113" t="s">
        <v>381</v>
      </c>
      <c r="B7" s="95"/>
      <c r="C7" s="96"/>
      <c r="D7" s="96"/>
      <c r="E7" s="101">
        <f t="shared" si="0"/>
        <v>0</v>
      </c>
    </row>
    <row r="8" spans="1:5">
      <c r="A8" s="113" t="s">
        <v>419</v>
      </c>
      <c r="B8" s="95"/>
      <c r="C8" s="96"/>
      <c r="D8" s="96"/>
      <c r="E8" s="101">
        <f t="shared" si="0"/>
        <v>0</v>
      </c>
    </row>
    <row r="9" spans="1:5">
      <c r="A9" s="113" t="s">
        <v>397</v>
      </c>
      <c r="B9" s="95"/>
      <c r="C9" s="96"/>
      <c r="D9" s="96"/>
      <c r="E9" s="101">
        <f t="shared" si="0"/>
        <v>0</v>
      </c>
    </row>
    <row r="10" spans="1:5">
      <c r="A10" s="113" t="s">
        <v>384</v>
      </c>
      <c r="B10" s="95"/>
      <c r="C10" s="96"/>
      <c r="D10" s="96"/>
      <c r="E10" s="101">
        <f t="shared" si="0"/>
        <v>0</v>
      </c>
    </row>
    <row r="11" spans="1:5">
      <c r="A11" s="113" t="s">
        <v>424</v>
      </c>
      <c r="B11" s="95"/>
      <c r="C11" s="96"/>
      <c r="D11" s="96"/>
      <c r="E11" s="101">
        <f t="shared" si="0"/>
        <v>0</v>
      </c>
    </row>
    <row r="12" spans="1:5">
      <c r="A12" s="113" t="s">
        <v>386</v>
      </c>
      <c r="B12" s="95"/>
      <c r="C12" s="96"/>
      <c r="D12" s="96"/>
      <c r="E12" s="101">
        <f t="shared" si="0"/>
        <v>0</v>
      </c>
    </row>
    <row r="13" spans="1:5">
      <c r="A13" s="113" t="s">
        <v>372</v>
      </c>
      <c r="B13" s="95"/>
      <c r="C13" s="96"/>
      <c r="D13" s="96"/>
      <c r="E13" s="101">
        <f t="shared" si="0"/>
        <v>0</v>
      </c>
    </row>
    <row r="14" spans="1:5">
      <c r="A14" s="113" t="s">
        <v>373</v>
      </c>
      <c r="B14" s="95"/>
      <c r="C14" s="96"/>
      <c r="D14" s="96"/>
      <c r="E14" s="101">
        <f t="shared" si="0"/>
        <v>0</v>
      </c>
    </row>
    <row r="15" spans="1:5">
      <c r="A15" s="113" t="s">
        <v>400</v>
      </c>
      <c r="B15" s="95"/>
      <c r="C15" s="96"/>
      <c r="D15" s="96"/>
      <c r="E15" s="101">
        <f t="shared" si="0"/>
        <v>0</v>
      </c>
    </row>
    <row r="16" spans="1:5">
      <c r="A16" s="113" t="s">
        <v>425</v>
      </c>
      <c r="B16" s="95"/>
      <c r="C16" s="96"/>
      <c r="D16" s="96"/>
      <c r="E16" s="101">
        <f t="shared" si="0"/>
        <v>0</v>
      </c>
    </row>
    <row r="17" spans="1:5">
      <c r="A17" s="113" t="s">
        <v>406</v>
      </c>
      <c r="B17" s="95"/>
      <c r="C17" s="96"/>
      <c r="D17" s="96"/>
      <c r="E17" s="101">
        <f t="shared" si="0"/>
        <v>0</v>
      </c>
    </row>
    <row r="18" spans="1:5">
      <c r="A18" s="113" t="s">
        <v>409</v>
      </c>
      <c r="B18" s="95"/>
      <c r="C18" s="96"/>
      <c r="D18" s="96"/>
      <c r="E18" s="101">
        <f t="shared" si="0"/>
        <v>0</v>
      </c>
    </row>
    <row r="19" spans="1:5">
      <c r="A19" s="113" t="s">
        <v>410</v>
      </c>
      <c r="B19" s="95"/>
      <c r="C19" s="96"/>
      <c r="D19" s="96"/>
      <c r="E19" s="101">
        <f t="shared" si="0"/>
        <v>0</v>
      </c>
    </row>
    <row r="20" spans="1:5">
      <c r="A20" s="113" t="s">
        <v>376</v>
      </c>
      <c r="B20" s="95"/>
      <c r="C20" s="96"/>
      <c r="D20" s="96"/>
      <c r="E20" s="101">
        <f t="shared" si="0"/>
        <v>0</v>
      </c>
    </row>
    <row r="21" spans="1:5">
      <c r="A21" s="113" t="s">
        <v>411</v>
      </c>
      <c r="B21" s="95"/>
      <c r="C21" s="96"/>
      <c r="D21" s="96"/>
      <c r="E21" s="101">
        <f t="shared" si="0"/>
        <v>0</v>
      </c>
    </row>
    <row r="22" spans="1:5">
      <c r="A22" s="113" t="s">
        <v>426</v>
      </c>
      <c r="B22" s="95"/>
      <c r="C22" s="96"/>
      <c r="D22" s="96"/>
      <c r="E22" s="101">
        <f t="shared" si="0"/>
        <v>0</v>
      </c>
    </row>
    <row r="23" spans="1:5">
      <c r="A23" s="113" t="s">
        <v>427</v>
      </c>
      <c r="B23" s="95"/>
      <c r="C23" s="96"/>
      <c r="D23" s="96"/>
      <c r="E23" s="101">
        <f t="shared" si="0"/>
        <v>0</v>
      </c>
    </row>
    <row r="24" spans="1:5">
      <c r="A24" s="113" t="s">
        <v>403</v>
      </c>
      <c r="B24" s="95"/>
      <c r="C24" s="96"/>
      <c r="D24" s="96"/>
      <c r="E24" s="101">
        <f t="shared" si="0"/>
        <v>0</v>
      </c>
    </row>
    <row r="25" spans="1:5">
      <c r="A25" s="102"/>
      <c r="B25" s="96"/>
      <c r="C25" s="96"/>
      <c r="D25" s="96"/>
      <c r="E25" s="101"/>
    </row>
    <row r="26" spans="1:5" ht="15.5" thickBot="1">
      <c r="A26" s="103"/>
      <c r="B26" s="104"/>
      <c r="C26" s="104"/>
      <c r="D26" s="104"/>
      <c r="E26" s="105"/>
    </row>
    <row r="27" spans="1:5">
      <c r="A27" s="106"/>
      <c r="B27" s="107"/>
      <c r="C27" s="107"/>
      <c r="D27" s="107"/>
      <c r="E27" s="107"/>
    </row>
    <row r="28" spans="1:5">
      <c r="A28" s="106"/>
      <c r="B28" s="107"/>
      <c r="C28" s="107"/>
      <c r="D28" s="107"/>
      <c r="E28" s="107"/>
    </row>
    <row r="29" spans="1:5">
      <c r="A29" s="106"/>
      <c r="B29" s="107"/>
      <c r="C29" s="107"/>
      <c r="D29" s="107"/>
      <c r="E29" s="107"/>
    </row>
    <row r="30" spans="1:5">
      <c r="C30" t="s">
        <v>340</v>
      </c>
      <c r="E30">
        <f>SUM(E25)</f>
        <v>0</v>
      </c>
    </row>
    <row r="31" spans="1:5">
      <c r="C31" t="s">
        <v>341</v>
      </c>
    </row>
  </sheetData>
  <mergeCells count="2">
    <mergeCell ref="A2:E2"/>
    <mergeCell ref="B3: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9"/>
  <sheetViews>
    <sheetView workbookViewId="0">
      <selection activeCell="B4" sqref="B4:B13"/>
    </sheetView>
  </sheetViews>
  <sheetFormatPr defaultRowHeight="15"/>
  <cols>
    <col min="1" max="1" width="29.61328125" bestFit="1" customWidth="1"/>
  </cols>
  <sheetData>
    <row r="1" spans="1:5" ht="15.5" thickBot="1"/>
    <row r="2" spans="1:5" ht="15.5" thickBot="1">
      <c r="A2" s="136" t="s">
        <v>428</v>
      </c>
      <c r="B2" s="137"/>
      <c r="C2" s="137"/>
      <c r="D2" s="137"/>
      <c r="E2" s="138"/>
    </row>
    <row r="3" spans="1:5" ht="15.5" thickBot="1">
      <c r="A3" s="108"/>
      <c r="B3" s="139" t="s">
        <v>343</v>
      </c>
      <c r="C3" s="139"/>
      <c r="D3" s="109" t="s">
        <v>338</v>
      </c>
      <c r="E3" s="110" t="s">
        <v>10</v>
      </c>
    </row>
    <row r="4" spans="1:5">
      <c r="A4" s="112" t="s">
        <v>429</v>
      </c>
      <c r="B4" s="111"/>
      <c r="C4" s="99">
        <f>B4/1000</f>
        <v>0</v>
      </c>
      <c r="D4" s="99"/>
      <c r="E4" s="100">
        <f>C4*D4</f>
        <v>0</v>
      </c>
    </row>
    <row r="5" spans="1:5">
      <c r="A5" s="113" t="s">
        <v>377</v>
      </c>
      <c r="B5" s="95"/>
      <c r="C5" s="96">
        <f t="shared" ref="C5:C13" si="0">B5/1000</f>
        <v>0</v>
      </c>
      <c r="D5" s="96"/>
      <c r="E5" s="101">
        <f t="shared" ref="E5:E13" si="1">C5*D5</f>
        <v>0</v>
      </c>
    </row>
    <row r="6" spans="1:5">
      <c r="A6" s="113" t="s">
        <v>386</v>
      </c>
      <c r="B6" s="95"/>
      <c r="C6" s="96">
        <f t="shared" si="0"/>
        <v>0</v>
      </c>
      <c r="D6" s="96"/>
      <c r="E6" s="101">
        <f t="shared" si="1"/>
        <v>0</v>
      </c>
    </row>
    <row r="7" spans="1:5">
      <c r="A7" s="113" t="s">
        <v>430</v>
      </c>
      <c r="B7" s="95"/>
      <c r="C7" s="96">
        <f t="shared" si="0"/>
        <v>0</v>
      </c>
      <c r="D7" s="96"/>
      <c r="E7" s="101">
        <f t="shared" si="1"/>
        <v>0</v>
      </c>
    </row>
    <row r="8" spans="1:5">
      <c r="A8" s="113" t="s">
        <v>431</v>
      </c>
      <c r="B8" s="95"/>
      <c r="C8" s="96">
        <f t="shared" si="0"/>
        <v>0</v>
      </c>
      <c r="D8" s="96"/>
      <c r="E8" s="101">
        <f t="shared" si="1"/>
        <v>0</v>
      </c>
    </row>
    <row r="9" spans="1:5">
      <c r="A9" s="113" t="s">
        <v>418</v>
      </c>
      <c r="B9" s="95"/>
      <c r="C9" s="96">
        <v>5</v>
      </c>
      <c r="D9" s="96"/>
      <c r="E9" s="101">
        <f t="shared" si="1"/>
        <v>0</v>
      </c>
    </row>
    <row r="10" spans="1:5">
      <c r="A10" s="113" t="s">
        <v>380</v>
      </c>
      <c r="B10" s="95"/>
      <c r="C10" s="96">
        <f t="shared" si="0"/>
        <v>0</v>
      </c>
      <c r="D10" s="96"/>
      <c r="E10" s="101">
        <f t="shared" si="1"/>
        <v>0</v>
      </c>
    </row>
    <row r="11" spans="1:5">
      <c r="A11" s="113" t="s">
        <v>432</v>
      </c>
      <c r="B11" s="95"/>
      <c r="C11" s="96">
        <f t="shared" si="0"/>
        <v>0</v>
      </c>
      <c r="D11" s="96"/>
      <c r="E11" s="101">
        <f t="shared" si="1"/>
        <v>0</v>
      </c>
    </row>
    <row r="12" spans="1:5">
      <c r="A12" s="113" t="s">
        <v>384</v>
      </c>
      <c r="B12" s="95"/>
      <c r="C12" s="96">
        <f t="shared" si="0"/>
        <v>0</v>
      </c>
      <c r="D12" s="96"/>
      <c r="E12" s="101">
        <f t="shared" si="1"/>
        <v>0</v>
      </c>
    </row>
    <row r="13" spans="1:5">
      <c r="A13" s="113" t="s">
        <v>400</v>
      </c>
      <c r="B13" s="95"/>
      <c r="C13" s="96">
        <f t="shared" si="0"/>
        <v>0</v>
      </c>
      <c r="D13" s="96"/>
      <c r="E13" s="101">
        <f t="shared" si="1"/>
        <v>0</v>
      </c>
    </row>
    <row r="14" spans="1:5" ht="15.5" thickBot="1">
      <c r="A14" s="103"/>
      <c r="B14" s="104"/>
      <c r="C14" s="104"/>
      <c r="D14" s="104"/>
      <c r="E14" s="105"/>
    </row>
    <row r="15" spans="1:5">
      <c r="A15" s="106"/>
      <c r="B15" s="107"/>
      <c r="C15" s="107"/>
      <c r="D15" s="107"/>
      <c r="E15" s="107"/>
    </row>
    <row r="16" spans="1:5">
      <c r="A16" s="106"/>
      <c r="B16" s="107"/>
      <c r="C16" s="107"/>
      <c r="D16" s="107"/>
      <c r="E16" s="107"/>
    </row>
    <row r="17" spans="1:5">
      <c r="A17" s="106"/>
      <c r="B17" s="107"/>
      <c r="C17" s="107"/>
      <c r="D17" s="107"/>
      <c r="E17" s="107"/>
    </row>
    <row r="18" spans="1:5">
      <c r="C18" t="s">
        <v>340</v>
      </c>
      <c r="E18" t="e">
        <f>SUM(#REF!)</f>
        <v>#REF!</v>
      </c>
    </row>
    <row r="19" spans="1:5">
      <c r="C19" t="s">
        <v>341</v>
      </c>
    </row>
  </sheetData>
  <mergeCells count="2">
    <mergeCell ref="A2:E2"/>
    <mergeCell ref="B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6"/>
  <sheetViews>
    <sheetView workbookViewId="0">
      <selection activeCell="B4" sqref="B4:B9"/>
    </sheetView>
  </sheetViews>
  <sheetFormatPr defaultRowHeight="15"/>
  <cols>
    <col min="1" max="1" width="29.61328125" bestFit="1" customWidth="1"/>
  </cols>
  <sheetData>
    <row r="1" spans="1:5" ht="15.5" thickBot="1"/>
    <row r="2" spans="1:5" ht="15.5" thickBot="1">
      <c r="A2" s="136" t="s">
        <v>433</v>
      </c>
      <c r="B2" s="137"/>
      <c r="C2" s="137"/>
      <c r="D2" s="137"/>
      <c r="E2" s="138"/>
    </row>
    <row r="3" spans="1:5" ht="15.5" thickBot="1">
      <c r="A3" s="108"/>
      <c r="B3" s="139" t="s">
        <v>343</v>
      </c>
      <c r="C3" s="139"/>
      <c r="D3" s="109" t="s">
        <v>338</v>
      </c>
      <c r="E3" s="110" t="s">
        <v>10</v>
      </c>
    </row>
    <row r="4" spans="1:5">
      <c r="A4" s="112" t="s">
        <v>434</v>
      </c>
      <c r="B4" s="111"/>
      <c r="C4" s="99">
        <f>B4/1000</f>
        <v>0</v>
      </c>
      <c r="D4" s="99"/>
      <c r="E4" s="100">
        <f>C4*D4</f>
        <v>0</v>
      </c>
    </row>
    <row r="5" spans="1:5">
      <c r="A5" s="113" t="s">
        <v>398</v>
      </c>
      <c r="B5" s="95"/>
      <c r="C5" s="96">
        <f t="shared" ref="C5:C9" si="0">B5/1000</f>
        <v>0</v>
      </c>
      <c r="D5" s="96"/>
      <c r="E5" s="101">
        <f t="shared" ref="E5:E9" si="1">C5*D5</f>
        <v>0</v>
      </c>
    </row>
    <row r="6" spans="1:5">
      <c r="A6" s="113" t="s">
        <v>385</v>
      </c>
      <c r="B6" s="95"/>
      <c r="C6" s="96">
        <f t="shared" si="0"/>
        <v>0</v>
      </c>
      <c r="D6" s="96"/>
      <c r="E6" s="101">
        <f t="shared" si="1"/>
        <v>0</v>
      </c>
    </row>
    <row r="7" spans="1:5">
      <c r="A7" s="113" t="s">
        <v>404</v>
      </c>
      <c r="B7" s="95"/>
      <c r="C7" s="96">
        <f t="shared" si="0"/>
        <v>0</v>
      </c>
      <c r="D7" s="96"/>
      <c r="E7" s="101">
        <f t="shared" si="1"/>
        <v>0</v>
      </c>
    </row>
    <row r="8" spans="1:5">
      <c r="A8" s="113" t="s">
        <v>435</v>
      </c>
      <c r="B8" s="95"/>
      <c r="C8" s="96">
        <f t="shared" si="0"/>
        <v>0</v>
      </c>
      <c r="D8" s="96"/>
      <c r="E8" s="101">
        <f t="shared" si="1"/>
        <v>0</v>
      </c>
    </row>
    <row r="9" spans="1:5">
      <c r="A9" s="113" t="s">
        <v>411</v>
      </c>
      <c r="B9" s="95"/>
      <c r="C9" s="96">
        <f t="shared" si="0"/>
        <v>0</v>
      </c>
      <c r="D9" s="96"/>
      <c r="E9" s="101">
        <f t="shared" si="1"/>
        <v>0</v>
      </c>
    </row>
    <row r="10" spans="1:5">
      <c r="A10" s="113"/>
      <c r="B10" s="95"/>
      <c r="C10" s="96"/>
      <c r="D10" s="96"/>
      <c r="E10" s="101"/>
    </row>
    <row r="11" spans="1:5" ht="15.5" thickBot="1">
      <c r="A11" s="103"/>
      <c r="B11" s="104"/>
      <c r="C11" s="104"/>
      <c r="D11" s="104"/>
      <c r="E11" s="105"/>
    </row>
    <row r="12" spans="1:5">
      <c r="A12" s="106"/>
      <c r="B12" s="107"/>
      <c r="C12" s="107"/>
      <c r="D12" s="107"/>
      <c r="E12" s="107"/>
    </row>
    <row r="13" spans="1:5">
      <c r="A13" s="106"/>
      <c r="B13" s="107"/>
      <c r="C13" s="107"/>
      <c r="D13" s="107"/>
      <c r="E13" s="107"/>
    </row>
    <row r="14" spans="1:5">
      <c r="A14" s="106"/>
      <c r="B14" s="107"/>
      <c r="C14" s="107"/>
      <c r="D14" s="107"/>
      <c r="E14" s="107"/>
    </row>
    <row r="15" spans="1:5">
      <c r="C15" t="s">
        <v>340</v>
      </c>
      <c r="E15" t="e">
        <f>SUM(#REF!)</f>
        <v>#REF!</v>
      </c>
    </row>
    <row r="16" spans="1:5">
      <c r="C16" t="s">
        <v>341</v>
      </c>
    </row>
  </sheetData>
  <mergeCells count="2">
    <mergeCell ref="A2:E2"/>
    <mergeCell ref="B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31"/>
  <sheetViews>
    <sheetView workbookViewId="0">
      <selection activeCell="B4" sqref="B4:B23"/>
    </sheetView>
  </sheetViews>
  <sheetFormatPr defaultRowHeight="15"/>
  <cols>
    <col min="1" max="1" width="21" bestFit="1" customWidth="1"/>
  </cols>
  <sheetData>
    <row r="1" spans="1:5" ht="15.5" thickBot="1"/>
    <row r="2" spans="1:5" ht="15.5" thickBot="1">
      <c r="A2" s="136" t="s">
        <v>436</v>
      </c>
      <c r="B2" s="137"/>
      <c r="C2" s="137"/>
      <c r="D2" s="137"/>
      <c r="E2" s="138"/>
    </row>
    <row r="3" spans="1:5" ht="15.5" thickBot="1">
      <c r="A3" s="108"/>
      <c r="B3" s="139" t="s">
        <v>439</v>
      </c>
      <c r="C3" s="139"/>
      <c r="D3" s="109" t="s">
        <v>338</v>
      </c>
      <c r="E3" s="110" t="s">
        <v>10</v>
      </c>
    </row>
    <row r="4" spans="1:5">
      <c r="A4" s="112" t="s">
        <v>372</v>
      </c>
      <c r="B4" s="111"/>
      <c r="C4" s="99">
        <f>B4/1000</f>
        <v>0</v>
      </c>
      <c r="D4" s="99"/>
      <c r="E4" s="100">
        <f>C4*D4</f>
        <v>0</v>
      </c>
    </row>
    <row r="5" spans="1:5">
      <c r="A5" s="113" t="s">
        <v>373</v>
      </c>
      <c r="B5" s="95"/>
      <c r="C5" s="96">
        <f t="shared" ref="C5:C23" si="0">B5/1000</f>
        <v>0</v>
      </c>
      <c r="D5" s="96"/>
      <c r="E5" s="101">
        <f t="shared" ref="E5:E23" si="1">C5*D5</f>
        <v>0</v>
      </c>
    </row>
    <row r="6" spans="1:5">
      <c r="A6" s="113" t="s">
        <v>421</v>
      </c>
      <c r="B6" s="95"/>
      <c r="C6" s="96">
        <f t="shared" si="0"/>
        <v>0</v>
      </c>
      <c r="D6" s="96"/>
      <c r="E6" s="101">
        <f t="shared" si="1"/>
        <v>0</v>
      </c>
    </row>
    <row r="7" spans="1:5">
      <c r="A7" s="113" t="s">
        <v>374</v>
      </c>
      <c r="B7" s="95"/>
      <c r="C7" s="96">
        <f t="shared" si="0"/>
        <v>0</v>
      </c>
      <c r="D7" s="96"/>
      <c r="E7" s="101">
        <f t="shared" si="1"/>
        <v>0</v>
      </c>
    </row>
    <row r="8" spans="1:5">
      <c r="A8" s="113" t="s">
        <v>384</v>
      </c>
      <c r="B8" s="95"/>
      <c r="C8" s="96">
        <f t="shared" si="0"/>
        <v>0</v>
      </c>
      <c r="D8" s="96"/>
      <c r="E8" s="101">
        <f t="shared" si="1"/>
        <v>0</v>
      </c>
    </row>
    <row r="9" spans="1:5">
      <c r="A9" s="113" t="s">
        <v>381</v>
      </c>
      <c r="B9" s="95"/>
      <c r="C9" s="96">
        <v>5</v>
      </c>
      <c r="D9" s="96"/>
      <c r="E9" s="101">
        <f t="shared" si="1"/>
        <v>0</v>
      </c>
    </row>
    <row r="10" spans="1:5">
      <c r="A10" s="113" t="s">
        <v>390</v>
      </c>
      <c r="B10" s="95"/>
      <c r="C10" s="96">
        <f t="shared" si="0"/>
        <v>0</v>
      </c>
      <c r="D10" s="96"/>
      <c r="E10" s="101">
        <f t="shared" si="1"/>
        <v>0</v>
      </c>
    </row>
    <row r="11" spans="1:5">
      <c r="A11" s="113" t="s">
        <v>389</v>
      </c>
      <c r="B11" s="95"/>
      <c r="C11" s="96">
        <f t="shared" si="0"/>
        <v>0</v>
      </c>
      <c r="D11" s="96"/>
      <c r="E11" s="101">
        <f t="shared" si="1"/>
        <v>0</v>
      </c>
    </row>
    <row r="12" spans="1:5">
      <c r="A12" s="113" t="s">
        <v>378</v>
      </c>
      <c r="B12" s="95"/>
      <c r="C12" s="96">
        <f t="shared" si="0"/>
        <v>0</v>
      </c>
      <c r="D12" s="96"/>
      <c r="E12" s="101">
        <f t="shared" si="1"/>
        <v>0</v>
      </c>
    </row>
    <row r="13" spans="1:5">
      <c r="A13" s="113" t="s">
        <v>379</v>
      </c>
      <c r="B13" s="95"/>
      <c r="C13" s="96">
        <f t="shared" si="0"/>
        <v>0</v>
      </c>
      <c r="D13" s="96"/>
      <c r="E13" s="101">
        <f t="shared" si="1"/>
        <v>0</v>
      </c>
    </row>
    <row r="14" spans="1:5">
      <c r="A14" s="113" t="s">
        <v>406</v>
      </c>
      <c r="B14" s="95"/>
      <c r="C14" s="96">
        <f t="shared" si="0"/>
        <v>0</v>
      </c>
      <c r="D14" s="96"/>
      <c r="E14" s="101">
        <f t="shared" si="1"/>
        <v>0</v>
      </c>
    </row>
    <row r="15" spans="1:5">
      <c r="A15" s="113" t="s">
        <v>409</v>
      </c>
      <c r="B15" s="95"/>
      <c r="C15" s="96">
        <f t="shared" si="0"/>
        <v>0</v>
      </c>
      <c r="D15" s="96"/>
      <c r="E15" s="101">
        <f t="shared" si="1"/>
        <v>0</v>
      </c>
    </row>
    <row r="16" spans="1:5">
      <c r="A16" s="113" t="s">
        <v>410</v>
      </c>
      <c r="B16" s="95"/>
      <c r="C16" s="96">
        <f t="shared" si="0"/>
        <v>0</v>
      </c>
      <c r="D16" s="96"/>
      <c r="E16" s="101">
        <f t="shared" si="1"/>
        <v>0</v>
      </c>
    </row>
    <row r="17" spans="1:5">
      <c r="A17" s="113" t="s">
        <v>437</v>
      </c>
      <c r="B17" s="95"/>
      <c r="C17" s="96">
        <f t="shared" si="0"/>
        <v>0</v>
      </c>
      <c r="D17" s="96"/>
      <c r="E17" s="101">
        <f t="shared" si="1"/>
        <v>0</v>
      </c>
    </row>
    <row r="18" spans="1:5">
      <c r="A18" s="113" t="s">
        <v>418</v>
      </c>
      <c r="B18" s="95"/>
      <c r="C18" s="96">
        <f t="shared" si="0"/>
        <v>0</v>
      </c>
      <c r="D18" s="96"/>
      <c r="E18" s="101">
        <f t="shared" si="1"/>
        <v>0</v>
      </c>
    </row>
    <row r="19" spans="1:5">
      <c r="A19" s="113" t="s">
        <v>386</v>
      </c>
      <c r="B19" s="95"/>
      <c r="C19" s="96">
        <f t="shared" si="0"/>
        <v>0</v>
      </c>
      <c r="D19" s="96"/>
      <c r="E19" s="101">
        <f t="shared" si="1"/>
        <v>0</v>
      </c>
    </row>
    <row r="20" spans="1:5">
      <c r="A20" s="113" t="s">
        <v>438</v>
      </c>
      <c r="B20" s="95"/>
      <c r="C20" s="96">
        <f t="shared" si="0"/>
        <v>0</v>
      </c>
      <c r="D20" s="96"/>
      <c r="E20" s="101">
        <f t="shared" si="1"/>
        <v>0</v>
      </c>
    </row>
    <row r="21" spans="1:5">
      <c r="A21" s="113" t="s">
        <v>398</v>
      </c>
      <c r="B21" s="95"/>
      <c r="C21" s="96">
        <f t="shared" si="0"/>
        <v>0</v>
      </c>
      <c r="D21" s="96"/>
      <c r="E21" s="101">
        <f t="shared" si="1"/>
        <v>0</v>
      </c>
    </row>
    <row r="22" spans="1:5">
      <c r="A22" s="113" t="s">
        <v>385</v>
      </c>
      <c r="B22" s="95"/>
      <c r="C22" s="96">
        <f t="shared" si="0"/>
        <v>0</v>
      </c>
      <c r="D22" s="96"/>
      <c r="E22" s="101">
        <f t="shared" si="1"/>
        <v>0</v>
      </c>
    </row>
    <row r="23" spans="1:5">
      <c r="A23" s="113" t="s">
        <v>387</v>
      </c>
      <c r="B23" s="95"/>
      <c r="C23" s="96">
        <f t="shared" si="0"/>
        <v>0</v>
      </c>
      <c r="D23" s="96"/>
      <c r="E23" s="101">
        <f t="shared" si="1"/>
        <v>0</v>
      </c>
    </row>
    <row r="24" spans="1:5">
      <c r="A24" s="113"/>
      <c r="B24" s="95"/>
      <c r="C24" s="96"/>
      <c r="D24" s="96"/>
      <c r="E24" s="101"/>
    </row>
    <row r="25" spans="1:5">
      <c r="A25" s="116"/>
      <c r="B25" s="96"/>
      <c r="C25" s="96"/>
      <c r="D25" s="96"/>
      <c r="E25" s="101"/>
    </row>
    <row r="26" spans="1:5" ht="15.5" thickBot="1">
      <c r="A26" s="114"/>
      <c r="B26" s="104"/>
      <c r="C26" s="104"/>
      <c r="D26" s="104"/>
      <c r="E26" s="105"/>
    </row>
    <row r="27" spans="1:5">
      <c r="A27" s="106"/>
      <c r="B27" s="107"/>
      <c r="C27" s="107"/>
      <c r="D27" s="107"/>
      <c r="E27" s="107"/>
    </row>
    <row r="28" spans="1:5">
      <c r="A28" s="106"/>
      <c r="B28" s="107"/>
      <c r="C28" s="107"/>
      <c r="D28" s="107"/>
      <c r="E28" s="107"/>
    </row>
    <row r="29" spans="1:5">
      <c r="A29" s="106"/>
      <c r="B29" s="107"/>
      <c r="C29" s="107"/>
      <c r="D29" s="107"/>
      <c r="E29" s="107"/>
    </row>
    <row r="30" spans="1:5">
      <c r="C30" t="s">
        <v>340</v>
      </c>
      <c r="E30">
        <f>SUM(E25)</f>
        <v>0</v>
      </c>
    </row>
    <row r="31" spans="1:5">
      <c r="C31" t="s">
        <v>341</v>
      </c>
    </row>
  </sheetData>
  <mergeCells count="2">
    <mergeCell ref="A2:E2"/>
    <mergeCell ref="B3:C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22"/>
  <sheetViews>
    <sheetView workbookViewId="0">
      <selection activeCell="B4" sqref="B4:B15"/>
    </sheetView>
  </sheetViews>
  <sheetFormatPr defaultRowHeight="15"/>
  <cols>
    <col min="1" max="1" width="29.61328125" bestFit="1" customWidth="1"/>
  </cols>
  <sheetData>
    <row r="1" spans="1:5" ht="15.5" thickBot="1"/>
    <row r="2" spans="1:5" ht="15.5" thickBot="1">
      <c r="A2" s="136" t="s">
        <v>440</v>
      </c>
      <c r="B2" s="137"/>
      <c r="C2" s="137"/>
      <c r="D2" s="137"/>
      <c r="E2" s="138"/>
    </row>
    <row r="3" spans="1:5" ht="15.5" thickBot="1">
      <c r="A3" s="108"/>
      <c r="B3" s="139" t="s">
        <v>343</v>
      </c>
      <c r="C3" s="139"/>
      <c r="D3" s="109" t="s">
        <v>338</v>
      </c>
      <c r="E3" s="110" t="s">
        <v>10</v>
      </c>
    </row>
    <row r="4" spans="1:5">
      <c r="A4" s="112" t="s">
        <v>372</v>
      </c>
      <c r="B4" s="111"/>
      <c r="C4" s="99">
        <f>B4/1000</f>
        <v>0</v>
      </c>
      <c r="D4" s="99"/>
      <c r="E4" s="100">
        <f>C4*D4</f>
        <v>0</v>
      </c>
    </row>
    <row r="5" spans="1:5">
      <c r="A5" s="113" t="s">
        <v>373</v>
      </c>
      <c r="B5" s="95"/>
      <c r="C5" s="96">
        <f t="shared" ref="C5:C15" si="0">B5/1000</f>
        <v>0</v>
      </c>
      <c r="D5" s="96"/>
      <c r="E5" s="101">
        <f t="shared" ref="E5:E15" si="1">C5*D5</f>
        <v>0</v>
      </c>
    </row>
    <row r="6" spans="1:5">
      <c r="A6" s="113" t="s">
        <v>376</v>
      </c>
      <c r="B6" s="95"/>
      <c r="C6" s="96">
        <f t="shared" si="0"/>
        <v>0</v>
      </c>
      <c r="D6" s="96"/>
      <c r="E6" s="101">
        <f t="shared" si="1"/>
        <v>0</v>
      </c>
    </row>
    <row r="7" spans="1:5">
      <c r="A7" s="113" t="s">
        <v>421</v>
      </c>
      <c r="B7" s="95"/>
      <c r="C7" s="96">
        <f t="shared" si="0"/>
        <v>0</v>
      </c>
      <c r="D7" s="96"/>
      <c r="E7" s="101">
        <f t="shared" si="1"/>
        <v>0</v>
      </c>
    </row>
    <row r="8" spans="1:5">
      <c r="A8" s="113" t="s">
        <v>432</v>
      </c>
      <c r="B8" s="95"/>
      <c r="C8" s="96">
        <f t="shared" si="0"/>
        <v>0</v>
      </c>
      <c r="D8" s="96"/>
      <c r="E8" s="101">
        <f t="shared" si="1"/>
        <v>0</v>
      </c>
    </row>
    <row r="9" spans="1:5">
      <c r="A9" s="113" t="s">
        <v>377</v>
      </c>
      <c r="B9" s="95"/>
      <c r="C9" s="96">
        <v>5</v>
      </c>
      <c r="D9" s="96"/>
      <c r="E9" s="101">
        <f t="shared" si="1"/>
        <v>0</v>
      </c>
    </row>
    <row r="10" spans="1:5">
      <c r="A10" s="113" t="s">
        <v>379</v>
      </c>
      <c r="B10" s="95"/>
      <c r="C10" s="96">
        <f t="shared" si="0"/>
        <v>0</v>
      </c>
      <c r="D10" s="96"/>
      <c r="E10" s="101">
        <f t="shared" si="1"/>
        <v>0</v>
      </c>
    </row>
    <row r="11" spans="1:5">
      <c r="A11" s="113" t="s">
        <v>381</v>
      </c>
      <c r="B11" s="95"/>
      <c r="C11" s="96">
        <f t="shared" si="0"/>
        <v>0</v>
      </c>
      <c r="D11" s="96"/>
      <c r="E11" s="101">
        <f t="shared" si="1"/>
        <v>0</v>
      </c>
    </row>
    <row r="12" spans="1:5">
      <c r="A12" s="113" t="s">
        <v>386</v>
      </c>
      <c r="B12" s="95"/>
      <c r="C12" s="96">
        <f t="shared" si="0"/>
        <v>0</v>
      </c>
      <c r="D12" s="96"/>
      <c r="E12" s="101">
        <f t="shared" si="1"/>
        <v>0</v>
      </c>
    </row>
    <row r="13" spans="1:5">
      <c r="A13" s="113" t="s">
        <v>441</v>
      </c>
      <c r="B13" s="95"/>
      <c r="C13" s="96">
        <f t="shared" si="0"/>
        <v>0</v>
      </c>
      <c r="D13" s="96"/>
      <c r="E13" s="101">
        <f t="shared" si="1"/>
        <v>0</v>
      </c>
    </row>
    <row r="14" spans="1:5">
      <c r="A14" s="113" t="s">
        <v>403</v>
      </c>
      <c r="B14" s="95"/>
      <c r="C14" s="96">
        <f t="shared" si="0"/>
        <v>0</v>
      </c>
      <c r="D14" s="96"/>
      <c r="E14" s="101">
        <f t="shared" si="1"/>
        <v>0</v>
      </c>
    </row>
    <row r="15" spans="1:5">
      <c r="A15" s="113" t="s">
        <v>387</v>
      </c>
      <c r="B15" s="95"/>
      <c r="C15" s="96">
        <f t="shared" si="0"/>
        <v>0</v>
      </c>
      <c r="D15" s="96"/>
      <c r="E15" s="101">
        <f t="shared" si="1"/>
        <v>0</v>
      </c>
    </row>
    <row r="16" spans="1:5">
      <c r="A16" s="113"/>
      <c r="B16" s="95"/>
      <c r="C16" s="96"/>
      <c r="D16" s="96"/>
      <c r="E16" s="101"/>
    </row>
    <row r="17" spans="1:5" ht="15.5" thickBot="1">
      <c r="A17" s="103"/>
      <c r="B17" s="104"/>
      <c r="C17" s="104"/>
      <c r="D17" s="104"/>
      <c r="E17" s="105"/>
    </row>
    <row r="18" spans="1:5">
      <c r="A18" s="106"/>
      <c r="B18" s="107"/>
      <c r="C18" s="107"/>
      <c r="D18" s="107"/>
      <c r="E18" s="107"/>
    </row>
    <row r="19" spans="1:5">
      <c r="A19" s="106"/>
      <c r="B19" s="107"/>
      <c r="C19" s="107"/>
      <c r="D19" s="107"/>
      <c r="E19" s="107"/>
    </row>
    <row r="20" spans="1:5">
      <c r="A20" s="106"/>
      <c r="B20" s="107"/>
      <c r="C20" s="107"/>
      <c r="D20" s="107"/>
      <c r="E20" s="107"/>
    </row>
    <row r="21" spans="1:5">
      <c r="C21" t="s">
        <v>340</v>
      </c>
      <c r="E21" t="e">
        <f>SUM(#REF!)</f>
        <v>#REF!</v>
      </c>
    </row>
    <row r="22" spans="1:5">
      <c r="C22" t="s">
        <v>341</v>
      </c>
    </row>
  </sheetData>
  <mergeCells count="2">
    <mergeCell ref="A2:E2"/>
    <mergeCell ref="B3:C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2"/>
  <sheetViews>
    <sheetView workbookViewId="0">
      <selection activeCell="B4" sqref="B4:B14"/>
    </sheetView>
  </sheetViews>
  <sheetFormatPr defaultRowHeight="15"/>
  <cols>
    <col min="1" max="1" width="29.61328125" bestFit="1" customWidth="1"/>
  </cols>
  <sheetData>
    <row r="1" spans="1:5" ht="15.5" thickBot="1"/>
    <row r="2" spans="1:5" ht="15.5" thickBot="1">
      <c r="A2" s="136" t="s">
        <v>442</v>
      </c>
      <c r="B2" s="137"/>
      <c r="C2" s="137"/>
      <c r="D2" s="137"/>
      <c r="E2" s="138"/>
    </row>
    <row r="3" spans="1:5" ht="15.5" thickBot="1">
      <c r="A3" s="108"/>
      <c r="B3" s="139" t="s">
        <v>343</v>
      </c>
      <c r="C3" s="139"/>
      <c r="D3" s="109" t="s">
        <v>338</v>
      </c>
      <c r="E3" s="110" t="s">
        <v>10</v>
      </c>
    </row>
    <row r="4" spans="1:5">
      <c r="A4" s="112" t="s">
        <v>372</v>
      </c>
      <c r="B4" s="111"/>
      <c r="C4" s="99">
        <f>B4/1000</f>
        <v>0</v>
      </c>
      <c r="D4" s="99"/>
      <c r="E4" s="100">
        <f>C4*D4</f>
        <v>0</v>
      </c>
    </row>
    <row r="5" spans="1:5">
      <c r="A5" s="113" t="s">
        <v>385</v>
      </c>
      <c r="B5" s="95"/>
      <c r="C5" s="96">
        <f t="shared" ref="C5:C14" si="0">B5/1000</f>
        <v>0</v>
      </c>
      <c r="D5" s="96"/>
      <c r="E5" s="101">
        <f t="shared" ref="E5:E14" si="1">C5*D5</f>
        <v>0</v>
      </c>
    </row>
    <row r="6" spans="1:5">
      <c r="A6" s="113" t="s">
        <v>396</v>
      </c>
      <c r="B6" s="95"/>
      <c r="C6" s="96">
        <f t="shared" si="0"/>
        <v>0</v>
      </c>
      <c r="D6" s="96"/>
      <c r="E6" s="101">
        <f t="shared" si="1"/>
        <v>0</v>
      </c>
    </row>
    <row r="7" spans="1:5">
      <c r="A7" s="113" t="s">
        <v>374</v>
      </c>
      <c r="B7" s="95"/>
      <c r="C7" s="96">
        <f t="shared" si="0"/>
        <v>0</v>
      </c>
      <c r="D7" s="96"/>
      <c r="E7" s="101">
        <f t="shared" si="1"/>
        <v>0</v>
      </c>
    </row>
    <row r="8" spans="1:5">
      <c r="A8" s="113" t="s">
        <v>432</v>
      </c>
      <c r="B8" s="95"/>
      <c r="C8" s="96">
        <f t="shared" si="0"/>
        <v>0</v>
      </c>
      <c r="D8" s="96"/>
      <c r="E8" s="101">
        <f t="shared" si="1"/>
        <v>0</v>
      </c>
    </row>
    <row r="9" spans="1:5">
      <c r="A9" s="113" t="s">
        <v>381</v>
      </c>
      <c r="B9" s="95"/>
      <c r="C9" s="96">
        <v>5</v>
      </c>
      <c r="D9" s="96"/>
      <c r="E9" s="101">
        <f t="shared" si="1"/>
        <v>0</v>
      </c>
    </row>
    <row r="10" spans="1:5">
      <c r="A10" s="113" t="s">
        <v>443</v>
      </c>
      <c r="B10" s="95"/>
      <c r="C10" s="96">
        <f t="shared" si="0"/>
        <v>0</v>
      </c>
      <c r="D10" s="96"/>
      <c r="E10" s="101">
        <f t="shared" si="1"/>
        <v>0</v>
      </c>
    </row>
    <row r="11" spans="1:5">
      <c r="A11" s="113" t="s">
        <v>382</v>
      </c>
      <c r="B11" s="95"/>
      <c r="C11" s="96">
        <f t="shared" si="0"/>
        <v>0</v>
      </c>
      <c r="D11" s="96"/>
      <c r="E11" s="101">
        <f t="shared" si="1"/>
        <v>0</v>
      </c>
    </row>
    <row r="12" spans="1:5">
      <c r="A12" s="113" t="s">
        <v>444</v>
      </c>
      <c r="B12" s="95"/>
      <c r="C12" s="96">
        <f t="shared" si="0"/>
        <v>0</v>
      </c>
      <c r="D12" s="96"/>
      <c r="E12" s="101">
        <f t="shared" si="1"/>
        <v>0</v>
      </c>
    </row>
    <row r="13" spans="1:5">
      <c r="A13" s="113" t="s">
        <v>386</v>
      </c>
      <c r="B13" s="95"/>
      <c r="C13" s="96">
        <f t="shared" si="0"/>
        <v>0</v>
      </c>
      <c r="D13" s="96"/>
      <c r="E13" s="101">
        <f t="shared" si="1"/>
        <v>0</v>
      </c>
    </row>
    <row r="14" spans="1:5">
      <c r="A14" s="113" t="s">
        <v>418</v>
      </c>
      <c r="B14" s="95"/>
      <c r="C14" s="96">
        <f t="shared" si="0"/>
        <v>0</v>
      </c>
      <c r="D14" s="96"/>
      <c r="E14" s="101">
        <f t="shared" si="1"/>
        <v>0</v>
      </c>
    </row>
    <row r="15" spans="1:5">
      <c r="A15" s="113"/>
      <c r="B15" s="95"/>
      <c r="C15" s="96"/>
      <c r="D15" s="96"/>
      <c r="E15" s="101"/>
    </row>
    <row r="16" spans="1:5">
      <c r="A16" s="113"/>
      <c r="B16" s="95"/>
      <c r="C16" s="96"/>
      <c r="D16" s="96"/>
      <c r="E16" s="101"/>
    </row>
    <row r="17" spans="1:5" ht="15.5" thickBot="1">
      <c r="A17" s="103"/>
      <c r="B17" s="104"/>
      <c r="C17" s="104"/>
      <c r="D17" s="104"/>
      <c r="E17" s="105"/>
    </row>
    <row r="18" spans="1:5">
      <c r="A18" s="106"/>
      <c r="B18" s="107"/>
      <c r="C18" s="107"/>
      <c r="D18" s="107"/>
      <c r="E18" s="107"/>
    </row>
    <row r="19" spans="1:5">
      <c r="A19" s="106"/>
      <c r="B19" s="107"/>
      <c r="C19" s="107"/>
      <c r="D19" s="107"/>
      <c r="E19" s="107"/>
    </row>
    <row r="20" spans="1:5">
      <c r="A20" s="106"/>
      <c r="B20" s="107"/>
      <c r="C20" s="107"/>
      <c r="D20" s="107"/>
      <c r="E20" s="107"/>
    </row>
    <row r="21" spans="1:5">
      <c r="C21" t="s">
        <v>340</v>
      </c>
      <c r="E21" t="e">
        <f>SUM(#REF!)</f>
        <v>#REF!</v>
      </c>
    </row>
    <row r="22" spans="1:5">
      <c r="C22" t="s">
        <v>341</v>
      </c>
    </row>
  </sheetData>
  <mergeCells count="2">
    <mergeCell ref="A2:E2"/>
    <mergeCell ref="B3:C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6"/>
  <sheetViews>
    <sheetView workbookViewId="0">
      <selection activeCell="B4" sqref="B4:B19"/>
    </sheetView>
  </sheetViews>
  <sheetFormatPr defaultRowHeight="15"/>
  <cols>
    <col min="1" max="1" width="29.61328125" bestFit="1" customWidth="1"/>
  </cols>
  <sheetData>
    <row r="1" spans="1:5" ht="15.5" thickBot="1"/>
    <row r="2" spans="1:5" ht="15.5" thickBot="1">
      <c r="A2" s="136" t="s">
        <v>445</v>
      </c>
      <c r="B2" s="137"/>
      <c r="C2" s="137"/>
      <c r="D2" s="137"/>
      <c r="E2" s="138"/>
    </row>
    <row r="3" spans="1:5" ht="15.5" thickBot="1">
      <c r="A3" s="108"/>
      <c r="B3" s="139" t="s">
        <v>343</v>
      </c>
      <c r="C3" s="139"/>
      <c r="D3" s="109" t="s">
        <v>338</v>
      </c>
      <c r="E3" s="110" t="s">
        <v>10</v>
      </c>
    </row>
    <row r="4" spans="1:5">
      <c r="A4" s="112" t="s">
        <v>446</v>
      </c>
      <c r="B4" s="111"/>
      <c r="C4" s="99">
        <f>B4/1000</f>
        <v>0</v>
      </c>
      <c r="D4" s="99"/>
      <c r="E4" s="100">
        <f>C4*D4</f>
        <v>0</v>
      </c>
    </row>
    <row r="5" spans="1:5">
      <c r="A5" s="113" t="s">
        <v>372</v>
      </c>
      <c r="B5" s="95"/>
      <c r="C5" s="96">
        <f t="shared" ref="C5:C19" si="0">B5/1000</f>
        <v>0</v>
      </c>
      <c r="D5" s="96"/>
      <c r="E5" s="101">
        <f t="shared" ref="E5:E19" si="1">C5*D5</f>
        <v>0</v>
      </c>
    </row>
    <row r="6" spans="1:5">
      <c r="A6" s="113" t="s">
        <v>373</v>
      </c>
      <c r="B6" s="95"/>
      <c r="C6" s="96">
        <f t="shared" si="0"/>
        <v>0</v>
      </c>
      <c r="D6" s="96"/>
      <c r="E6" s="101">
        <f t="shared" si="1"/>
        <v>0</v>
      </c>
    </row>
    <row r="7" spans="1:5">
      <c r="A7" s="113" t="s">
        <v>421</v>
      </c>
      <c r="B7" s="95"/>
      <c r="C7" s="96">
        <f t="shared" si="0"/>
        <v>0</v>
      </c>
      <c r="D7" s="96"/>
      <c r="E7" s="101">
        <f t="shared" si="1"/>
        <v>0</v>
      </c>
    </row>
    <row r="8" spans="1:5">
      <c r="A8" s="113" t="s">
        <v>447</v>
      </c>
      <c r="B8" s="95"/>
      <c r="C8" s="96">
        <f t="shared" si="0"/>
        <v>0</v>
      </c>
      <c r="D8" s="96"/>
      <c r="E8" s="101">
        <f t="shared" si="1"/>
        <v>0</v>
      </c>
    </row>
    <row r="9" spans="1:5">
      <c r="A9" s="113" t="s">
        <v>432</v>
      </c>
      <c r="B9" s="95"/>
      <c r="C9" s="96">
        <v>5</v>
      </c>
      <c r="D9" s="96"/>
      <c r="E9" s="101">
        <f t="shared" si="1"/>
        <v>0</v>
      </c>
    </row>
    <row r="10" spans="1:5">
      <c r="A10" s="113" t="s">
        <v>377</v>
      </c>
      <c r="B10" s="95"/>
      <c r="C10" s="96">
        <f t="shared" si="0"/>
        <v>0</v>
      </c>
      <c r="D10" s="96"/>
      <c r="E10" s="101">
        <f t="shared" si="1"/>
        <v>0</v>
      </c>
    </row>
    <row r="11" spans="1:5">
      <c r="A11" s="113" t="s">
        <v>378</v>
      </c>
      <c r="B11" s="95"/>
      <c r="C11" s="96">
        <f t="shared" si="0"/>
        <v>0</v>
      </c>
      <c r="D11" s="96"/>
      <c r="E11" s="101">
        <f t="shared" si="1"/>
        <v>0</v>
      </c>
    </row>
    <row r="12" spans="1:5">
      <c r="A12" s="113" t="s">
        <v>379</v>
      </c>
      <c r="B12" s="95"/>
      <c r="C12" s="96">
        <f t="shared" si="0"/>
        <v>0</v>
      </c>
      <c r="D12" s="96"/>
      <c r="E12" s="101">
        <f t="shared" si="1"/>
        <v>0</v>
      </c>
    </row>
    <row r="13" spans="1:5">
      <c r="A13" s="113" t="s">
        <v>381</v>
      </c>
      <c r="B13" s="95"/>
      <c r="C13" s="96">
        <f t="shared" si="0"/>
        <v>0</v>
      </c>
      <c r="D13" s="96"/>
      <c r="E13" s="101">
        <f t="shared" si="1"/>
        <v>0</v>
      </c>
    </row>
    <row r="14" spans="1:5">
      <c r="A14" s="113" t="s">
        <v>406</v>
      </c>
      <c r="B14" s="95"/>
      <c r="C14" s="96">
        <f t="shared" si="0"/>
        <v>0</v>
      </c>
      <c r="D14" s="96"/>
      <c r="E14" s="101">
        <f t="shared" si="1"/>
        <v>0</v>
      </c>
    </row>
    <row r="15" spans="1:5">
      <c r="A15" s="113" t="s">
        <v>386</v>
      </c>
      <c r="B15" s="95"/>
      <c r="C15" s="96">
        <f t="shared" si="0"/>
        <v>0</v>
      </c>
      <c r="D15" s="96"/>
      <c r="E15" s="101">
        <f t="shared" si="1"/>
        <v>0</v>
      </c>
    </row>
    <row r="16" spans="1:5">
      <c r="A16" s="113" t="s">
        <v>448</v>
      </c>
      <c r="B16" s="95"/>
      <c r="C16" s="96">
        <f t="shared" si="0"/>
        <v>0</v>
      </c>
      <c r="D16" s="96"/>
      <c r="E16" s="101">
        <f t="shared" si="1"/>
        <v>0</v>
      </c>
    </row>
    <row r="17" spans="1:5">
      <c r="A17" s="113" t="s">
        <v>435</v>
      </c>
      <c r="B17" s="95"/>
      <c r="C17" s="96">
        <f t="shared" si="0"/>
        <v>0</v>
      </c>
      <c r="D17" s="96"/>
      <c r="E17" s="101">
        <f t="shared" si="1"/>
        <v>0</v>
      </c>
    </row>
    <row r="18" spans="1:5">
      <c r="A18" s="113" t="s">
        <v>385</v>
      </c>
      <c r="B18" s="95"/>
      <c r="C18" s="96">
        <f t="shared" si="0"/>
        <v>0</v>
      </c>
      <c r="D18" s="96"/>
      <c r="E18" s="101">
        <f t="shared" si="1"/>
        <v>0</v>
      </c>
    </row>
    <row r="19" spans="1:5">
      <c r="A19" s="113" t="s">
        <v>387</v>
      </c>
      <c r="B19" s="95"/>
      <c r="C19" s="96">
        <f t="shared" si="0"/>
        <v>0</v>
      </c>
      <c r="D19" s="96"/>
      <c r="E19" s="101">
        <f t="shared" si="1"/>
        <v>0</v>
      </c>
    </row>
    <row r="20" spans="1:5">
      <c r="A20" s="113"/>
      <c r="B20" s="95"/>
      <c r="C20" s="96"/>
      <c r="D20" s="96"/>
      <c r="E20" s="101"/>
    </row>
    <row r="21" spans="1:5" ht="15.5" thickBot="1">
      <c r="A21" s="103"/>
      <c r="B21" s="104"/>
      <c r="C21" s="104"/>
      <c r="D21" s="104"/>
      <c r="E21" s="105"/>
    </row>
    <row r="22" spans="1:5">
      <c r="A22" s="106"/>
      <c r="B22" s="107"/>
      <c r="C22" s="107"/>
      <c r="D22" s="107"/>
      <c r="E22" s="107"/>
    </row>
    <row r="23" spans="1:5">
      <c r="A23" s="106"/>
      <c r="B23" s="107"/>
      <c r="C23" s="107"/>
      <c r="D23" s="107"/>
      <c r="E23" s="107"/>
    </row>
    <row r="24" spans="1:5">
      <c r="A24" s="106"/>
      <c r="B24" s="107"/>
      <c r="C24" s="107"/>
      <c r="D24" s="107"/>
      <c r="E24" s="107"/>
    </row>
    <row r="25" spans="1:5">
      <c r="C25" t="s">
        <v>340</v>
      </c>
      <c r="E25" t="e">
        <f>SUM(#REF!)</f>
        <v>#REF!</v>
      </c>
    </row>
    <row r="26" spans="1:5">
      <c r="C26" t="s">
        <v>341</v>
      </c>
    </row>
  </sheetData>
  <mergeCells count="2">
    <mergeCell ref="A2:E2"/>
    <mergeCell ref="B3:C3"/>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21"/>
  <sheetViews>
    <sheetView workbookViewId="0">
      <selection activeCell="B4" sqref="B4:B15"/>
    </sheetView>
  </sheetViews>
  <sheetFormatPr defaultRowHeight="15"/>
  <cols>
    <col min="1" max="1" width="29.61328125" bestFit="1" customWidth="1"/>
    <col min="7" max="7" width="20.15234375" bestFit="1" customWidth="1"/>
  </cols>
  <sheetData>
    <row r="1" spans="1:11" ht="15.5" thickBot="1"/>
    <row r="2" spans="1:11" ht="15.5" thickBot="1">
      <c r="A2" s="136" t="s">
        <v>449</v>
      </c>
      <c r="B2" s="137"/>
      <c r="C2" s="137"/>
      <c r="D2" s="137"/>
      <c r="E2" s="138"/>
      <c r="G2" s="136" t="s">
        <v>451</v>
      </c>
      <c r="H2" s="137"/>
      <c r="I2" s="137"/>
      <c r="J2" s="137"/>
      <c r="K2" s="138"/>
    </row>
    <row r="3" spans="1:11" ht="15.5" thickBot="1">
      <c r="A3" s="108"/>
      <c r="B3" s="139" t="s">
        <v>343</v>
      </c>
      <c r="C3" s="139"/>
      <c r="D3" s="109" t="s">
        <v>338</v>
      </c>
      <c r="E3" s="110" t="s">
        <v>10</v>
      </c>
      <c r="G3" s="108"/>
      <c r="H3" s="139" t="s">
        <v>343</v>
      </c>
      <c r="I3" s="139"/>
      <c r="J3" s="109" t="s">
        <v>338</v>
      </c>
      <c r="K3" s="110" t="s">
        <v>10</v>
      </c>
    </row>
    <row r="4" spans="1:11">
      <c r="A4" s="112" t="s">
        <v>372</v>
      </c>
      <c r="B4" s="111"/>
      <c r="C4" s="99">
        <f>B4/1000</f>
        <v>0</v>
      </c>
      <c r="D4" s="99"/>
      <c r="E4" s="100">
        <f>C4*D4</f>
        <v>0</v>
      </c>
      <c r="G4" s="112" t="s">
        <v>452</v>
      </c>
      <c r="H4" s="111">
        <v>1000</v>
      </c>
      <c r="I4" s="99">
        <f>H4/1000</f>
        <v>1</v>
      </c>
      <c r="J4" s="99"/>
      <c r="K4" s="100">
        <f>I4*J4</f>
        <v>0</v>
      </c>
    </row>
    <row r="5" spans="1:11">
      <c r="A5" s="113" t="s">
        <v>373</v>
      </c>
      <c r="B5" s="95"/>
      <c r="C5" s="96">
        <f t="shared" ref="C5:C15" si="0">B5/1000</f>
        <v>0</v>
      </c>
      <c r="D5" s="96"/>
      <c r="E5" s="101">
        <f t="shared" ref="E5:E15" si="1">C5*D5</f>
        <v>0</v>
      </c>
      <c r="G5" s="113" t="s">
        <v>386</v>
      </c>
      <c r="H5" s="95">
        <v>10</v>
      </c>
      <c r="I5" s="96">
        <f t="shared" ref="I5:I7" si="2">H5/1000</f>
        <v>0.01</v>
      </c>
      <c r="J5" s="96"/>
      <c r="K5" s="101">
        <f t="shared" ref="K5:K7" si="3">I5*J5</f>
        <v>0</v>
      </c>
    </row>
    <row r="6" spans="1:11">
      <c r="A6" s="113" t="s">
        <v>447</v>
      </c>
      <c r="B6" s="95"/>
      <c r="C6" s="96">
        <f t="shared" si="0"/>
        <v>0</v>
      </c>
      <c r="D6" s="96"/>
      <c r="E6" s="101">
        <f t="shared" si="1"/>
        <v>0</v>
      </c>
      <c r="G6" s="113" t="s">
        <v>448</v>
      </c>
      <c r="H6" s="95">
        <v>20</v>
      </c>
      <c r="I6" s="96">
        <f t="shared" si="2"/>
        <v>0.02</v>
      </c>
      <c r="J6" s="96"/>
      <c r="K6" s="101">
        <f t="shared" si="3"/>
        <v>0</v>
      </c>
    </row>
    <row r="7" spans="1:11" ht="15.5" thickBot="1">
      <c r="A7" s="113" t="s">
        <v>377</v>
      </c>
      <c r="B7" s="95"/>
      <c r="C7" s="96">
        <f t="shared" si="0"/>
        <v>0</v>
      </c>
      <c r="D7" s="96"/>
      <c r="E7" s="101">
        <f t="shared" si="1"/>
        <v>0</v>
      </c>
      <c r="G7" s="117" t="s">
        <v>446</v>
      </c>
      <c r="H7" s="118">
        <v>100</v>
      </c>
      <c r="I7" s="104">
        <f t="shared" si="2"/>
        <v>0.1</v>
      </c>
      <c r="J7" s="104"/>
      <c r="K7" s="105">
        <f t="shared" si="3"/>
        <v>0</v>
      </c>
    </row>
    <row r="8" spans="1:11">
      <c r="A8" s="113" t="s">
        <v>379</v>
      </c>
      <c r="B8" s="95"/>
      <c r="C8" s="96">
        <f t="shared" si="0"/>
        <v>0</v>
      </c>
      <c r="D8" s="96"/>
      <c r="E8" s="101">
        <f t="shared" si="1"/>
        <v>0</v>
      </c>
    </row>
    <row r="9" spans="1:11">
      <c r="A9" s="113" t="s">
        <v>381</v>
      </c>
      <c r="B9" s="95"/>
      <c r="C9" s="96">
        <v>5</v>
      </c>
      <c r="D9" s="96"/>
      <c r="E9" s="101">
        <f t="shared" si="1"/>
        <v>0</v>
      </c>
    </row>
    <row r="10" spans="1:11">
      <c r="A10" s="113" t="s">
        <v>450</v>
      </c>
      <c r="B10" s="95"/>
      <c r="C10" s="96">
        <f t="shared" si="0"/>
        <v>0</v>
      </c>
      <c r="D10" s="96"/>
      <c r="E10" s="101">
        <f t="shared" si="1"/>
        <v>0</v>
      </c>
    </row>
    <row r="11" spans="1:11">
      <c r="A11" s="113" t="s">
        <v>435</v>
      </c>
      <c r="B11" s="95"/>
      <c r="C11" s="96">
        <f t="shared" si="0"/>
        <v>0</v>
      </c>
      <c r="D11" s="96"/>
      <c r="E11" s="101">
        <f t="shared" si="1"/>
        <v>0</v>
      </c>
    </row>
    <row r="12" spans="1:11">
      <c r="A12" s="113" t="s">
        <v>386</v>
      </c>
      <c r="B12" s="95"/>
      <c r="C12" s="96">
        <f t="shared" si="0"/>
        <v>0</v>
      </c>
      <c r="D12" s="96"/>
      <c r="E12" s="101">
        <f t="shared" si="1"/>
        <v>0</v>
      </c>
    </row>
    <row r="13" spans="1:11">
      <c r="A13" s="113" t="s">
        <v>403</v>
      </c>
      <c r="B13" s="95"/>
      <c r="C13" s="96">
        <f t="shared" si="0"/>
        <v>0</v>
      </c>
      <c r="D13" s="96"/>
      <c r="E13" s="101">
        <f t="shared" si="1"/>
        <v>0</v>
      </c>
    </row>
    <row r="14" spans="1:11">
      <c r="A14" s="113" t="s">
        <v>406</v>
      </c>
      <c r="B14" s="95"/>
      <c r="C14" s="96">
        <f t="shared" si="0"/>
        <v>0</v>
      </c>
      <c r="D14" s="96"/>
      <c r="E14" s="101">
        <f t="shared" si="1"/>
        <v>0</v>
      </c>
    </row>
    <row r="15" spans="1:11">
      <c r="A15" s="113" t="s">
        <v>432</v>
      </c>
      <c r="B15" s="95"/>
      <c r="C15" s="96">
        <f t="shared" si="0"/>
        <v>0</v>
      </c>
      <c r="D15" s="96"/>
      <c r="E15" s="101">
        <f t="shared" si="1"/>
        <v>0</v>
      </c>
    </row>
    <row r="16" spans="1:11" ht="15.5" thickBot="1">
      <c r="A16" s="103"/>
      <c r="B16" s="104"/>
      <c r="C16" s="104"/>
      <c r="D16" s="104"/>
      <c r="E16" s="105"/>
    </row>
    <row r="17" spans="1:5">
      <c r="A17" s="106"/>
      <c r="B17" s="107"/>
      <c r="C17" s="107"/>
      <c r="D17" s="107"/>
      <c r="E17" s="107"/>
    </row>
    <row r="18" spans="1:5">
      <c r="A18" s="106"/>
      <c r="B18" s="107"/>
      <c r="C18" s="107"/>
      <c r="D18" s="107"/>
      <c r="E18" s="107"/>
    </row>
    <row r="19" spans="1:5">
      <c r="A19" s="106"/>
      <c r="B19" s="107"/>
      <c r="C19" s="107"/>
      <c r="D19" s="107"/>
      <c r="E19" s="107"/>
    </row>
    <row r="20" spans="1:5">
      <c r="C20" t="s">
        <v>340</v>
      </c>
      <c r="E20" t="e">
        <f>SUM(#REF!)</f>
        <v>#REF!</v>
      </c>
    </row>
    <row r="21" spans="1:5">
      <c r="C21" t="s">
        <v>341</v>
      </c>
    </row>
  </sheetData>
  <mergeCells count="4">
    <mergeCell ref="A2:E2"/>
    <mergeCell ref="B3:C3"/>
    <mergeCell ref="G2:K2"/>
    <mergeCell ref="H3: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7"/>
  <sheetViews>
    <sheetView workbookViewId="0">
      <selection activeCell="B4" sqref="B4:B10"/>
    </sheetView>
  </sheetViews>
  <sheetFormatPr defaultRowHeight="15"/>
  <cols>
    <col min="1" max="1" width="29.61328125" bestFit="1" customWidth="1"/>
  </cols>
  <sheetData>
    <row r="1" spans="1:5" ht="15.5" thickBot="1"/>
    <row r="2" spans="1:5" ht="15.5" thickBot="1">
      <c r="A2" s="136" t="s">
        <v>453</v>
      </c>
      <c r="B2" s="137"/>
      <c r="C2" s="137"/>
      <c r="D2" s="137"/>
      <c r="E2" s="138"/>
    </row>
    <row r="3" spans="1:5" ht="15.5" thickBot="1">
      <c r="A3" s="108"/>
      <c r="B3" s="139" t="s">
        <v>454</v>
      </c>
      <c r="C3" s="139"/>
      <c r="D3" s="109" t="s">
        <v>338</v>
      </c>
      <c r="E3" s="110" t="s">
        <v>10</v>
      </c>
    </row>
    <row r="4" spans="1:5">
      <c r="A4" s="112" t="s">
        <v>421</v>
      </c>
      <c r="B4" s="111"/>
      <c r="C4" s="99">
        <f>B4/1000</f>
        <v>0</v>
      </c>
      <c r="D4" s="99"/>
      <c r="E4" s="100">
        <f>C4*D4</f>
        <v>0</v>
      </c>
    </row>
    <row r="5" spans="1:5">
      <c r="A5" s="113" t="s">
        <v>374</v>
      </c>
      <c r="B5" s="95"/>
      <c r="C5" s="96">
        <f t="shared" ref="C5:C10" si="0">B5/1000</f>
        <v>0</v>
      </c>
      <c r="D5" s="96"/>
      <c r="E5" s="101">
        <f t="shared" ref="E5:E10" si="1">C5*D5</f>
        <v>0</v>
      </c>
    </row>
    <row r="6" spans="1:5">
      <c r="A6" s="113" t="s">
        <v>396</v>
      </c>
      <c r="B6" s="95"/>
      <c r="C6" s="96">
        <f t="shared" si="0"/>
        <v>0</v>
      </c>
      <c r="D6" s="96"/>
      <c r="E6" s="101">
        <f t="shared" si="1"/>
        <v>0</v>
      </c>
    </row>
    <row r="7" spans="1:5">
      <c r="A7" s="113" t="s">
        <v>418</v>
      </c>
      <c r="B7" s="95"/>
      <c r="C7" s="96">
        <f t="shared" si="0"/>
        <v>0</v>
      </c>
      <c r="D7" s="96"/>
      <c r="E7" s="101">
        <f t="shared" si="1"/>
        <v>0</v>
      </c>
    </row>
    <row r="8" spans="1:5">
      <c r="A8" s="113" t="s">
        <v>377</v>
      </c>
      <c r="B8" s="95"/>
      <c r="C8" s="96">
        <f t="shared" si="0"/>
        <v>0</v>
      </c>
      <c r="D8" s="96"/>
      <c r="E8" s="101">
        <f t="shared" si="1"/>
        <v>0</v>
      </c>
    </row>
    <row r="9" spans="1:5">
      <c r="A9" s="113" t="s">
        <v>455</v>
      </c>
      <c r="B9" s="95"/>
      <c r="C9" s="96">
        <v>5</v>
      </c>
      <c r="D9" s="96"/>
      <c r="E9" s="101">
        <f t="shared" si="1"/>
        <v>0</v>
      </c>
    </row>
    <row r="10" spans="1:5">
      <c r="A10" s="113" t="s">
        <v>386</v>
      </c>
      <c r="B10" s="95"/>
      <c r="C10" s="96">
        <f t="shared" si="0"/>
        <v>0</v>
      </c>
      <c r="D10" s="96"/>
      <c r="E10" s="101">
        <f t="shared" si="1"/>
        <v>0</v>
      </c>
    </row>
    <row r="11" spans="1:5">
      <c r="A11" s="113"/>
      <c r="B11" s="95"/>
      <c r="C11" s="96"/>
      <c r="D11" s="96"/>
      <c r="E11" s="101"/>
    </row>
    <row r="12" spans="1:5" ht="15.5" thickBot="1">
      <c r="A12" s="103"/>
      <c r="B12" s="104"/>
      <c r="C12" s="104"/>
      <c r="D12" s="104"/>
      <c r="E12" s="105"/>
    </row>
    <row r="13" spans="1:5">
      <c r="A13" s="106"/>
      <c r="B13" s="107"/>
      <c r="C13" s="107"/>
      <c r="D13" s="107"/>
      <c r="E13" s="107"/>
    </row>
    <row r="14" spans="1:5">
      <c r="A14" s="106"/>
      <c r="B14" s="107"/>
      <c r="C14" s="107"/>
      <c r="D14" s="107"/>
      <c r="E14" s="107"/>
    </row>
    <row r="15" spans="1:5">
      <c r="A15" s="106"/>
      <c r="B15" s="107"/>
      <c r="C15" s="107"/>
      <c r="D15" s="107"/>
      <c r="E15" s="107"/>
    </row>
    <row r="16" spans="1:5">
      <c r="C16" t="s">
        <v>340</v>
      </c>
      <c r="E16" t="e">
        <f>SUM(#REF!)</f>
        <v>#REF!</v>
      </c>
    </row>
    <row r="17" spans="3:3">
      <c r="C17" t="s">
        <v>341</v>
      </c>
    </row>
  </sheetData>
  <mergeCells count="2">
    <mergeCell ref="A2:E2"/>
    <mergeCell ref="B3:C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7"/>
  <sheetViews>
    <sheetView workbookViewId="0">
      <selection activeCell="B4" sqref="B4:B11"/>
    </sheetView>
  </sheetViews>
  <sheetFormatPr defaultRowHeight="15"/>
  <cols>
    <col min="1" max="1" width="29.61328125" bestFit="1" customWidth="1"/>
  </cols>
  <sheetData>
    <row r="1" spans="1:5" ht="15.5" thickBot="1"/>
    <row r="2" spans="1:5" ht="15.5" thickBot="1">
      <c r="A2" s="136" t="s">
        <v>456</v>
      </c>
      <c r="B2" s="137"/>
      <c r="C2" s="137"/>
      <c r="D2" s="137"/>
      <c r="E2" s="138"/>
    </row>
    <row r="3" spans="1:5" ht="15.5" thickBot="1">
      <c r="A3" s="108"/>
      <c r="B3" s="139" t="s">
        <v>458</v>
      </c>
      <c r="C3" s="139"/>
      <c r="D3" s="109" t="s">
        <v>338</v>
      </c>
      <c r="E3" s="110" t="s">
        <v>10</v>
      </c>
    </row>
    <row r="4" spans="1:5">
      <c r="A4" s="112" t="s">
        <v>457</v>
      </c>
      <c r="B4" s="111"/>
      <c r="C4" s="99">
        <f>B4/1000</f>
        <v>0</v>
      </c>
      <c r="D4" s="99"/>
      <c r="E4" s="100">
        <f>C4*D4</f>
        <v>0</v>
      </c>
    </row>
    <row r="5" spans="1:5">
      <c r="A5" s="113" t="s">
        <v>435</v>
      </c>
      <c r="B5" s="95"/>
      <c r="C5" s="96">
        <f t="shared" ref="C5:C11" si="0">B5/1000</f>
        <v>0</v>
      </c>
      <c r="D5" s="96"/>
      <c r="E5" s="101">
        <f t="shared" ref="E5:E11" si="1">C5*D5</f>
        <v>0</v>
      </c>
    </row>
    <row r="6" spans="1:5">
      <c r="A6" s="113" t="s">
        <v>456</v>
      </c>
      <c r="B6" s="95"/>
      <c r="C6" s="96">
        <f t="shared" si="0"/>
        <v>0</v>
      </c>
      <c r="D6" s="96"/>
      <c r="E6" s="101">
        <f t="shared" si="1"/>
        <v>0</v>
      </c>
    </row>
    <row r="7" spans="1:5">
      <c r="A7" s="113" t="s">
        <v>372</v>
      </c>
      <c r="B7" s="95"/>
      <c r="C7" s="96">
        <f t="shared" si="0"/>
        <v>0</v>
      </c>
      <c r="D7" s="96"/>
      <c r="E7" s="101">
        <f t="shared" si="1"/>
        <v>0</v>
      </c>
    </row>
    <row r="8" spans="1:5">
      <c r="A8" s="113" t="s">
        <v>385</v>
      </c>
      <c r="B8" s="95"/>
      <c r="C8" s="96">
        <f t="shared" si="0"/>
        <v>0</v>
      </c>
      <c r="D8" s="96"/>
      <c r="E8" s="101">
        <f t="shared" si="1"/>
        <v>0</v>
      </c>
    </row>
    <row r="9" spans="1:5">
      <c r="A9" s="113" t="s">
        <v>381</v>
      </c>
      <c r="B9" s="95"/>
      <c r="C9" s="96">
        <v>5</v>
      </c>
      <c r="D9" s="96"/>
      <c r="E9" s="101">
        <f t="shared" si="1"/>
        <v>0</v>
      </c>
    </row>
    <row r="10" spans="1:5">
      <c r="A10" s="113" t="s">
        <v>443</v>
      </c>
      <c r="B10" s="95"/>
      <c r="C10" s="96">
        <f t="shared" si="0"/>
        <v>0</v>
      </c>
      <c r="D10" s="96"/>
      <c r="E10" s="101">
        <f t="shared" si="1"/>
        <v>0</v>
      </c>
    </row>
    <row r="11" spans="1:5">
      <c r="A11" s="113" t="s">
        <v>387</v>
      </c>
      <c r="B11" s="95"/>
      <c r="C11" s="96">
        <f t="shared" si="0"/>
        <v>0</v>
      </c>
      <c r="D11" s="96"/>
      <c r="E11" s="101">
        <f t="shared" si="1"/>
        <v>0</v>
      </c>
    </row>
    <row r="12" spans="1:5" ht="15.5" thickBot="1">
      <c r="A12" s="103" t="s">
        <v>386</v>
      </c>
      <c r="B12" s="104"/>
      <c r="C12" s="104"/>
      <c r="D12" s="104"/>
      <c r="E12" s="105"/>
    </row>
    <row r="13" spans="1:5">
      <c r="A13" s="106"/>
      <c r="B13" s="107"/>
      <c r="C13" s="107"/>
      <c r="D13" s="107"/>
      <c r="E13" s="107"/>
    </row>
    <row r="14" spans="1:5">
      <c r="A14" s="106"/>
      <c r="B14" s="107"/>
      <c r="C14" s="107"/>
      <c r="D14" s="107"/>
      <c r="E14" s="107"/>
    </row>
    <row r="15" spans="1:5">
      <c r="A15" s="106"/>
      <c r="B15" s="107"/>
      <c r="C15" s="107"/>
      <c r="D15" s="107"/>
      <c r="E15" s="107"/>
    </row>
    <row r="16" spans="1:5">
      <c r="C16" t="s">
        <v>340</v>
      </c>
      <c r="E16" t="e">
        <f>SUM(#REF!)</f>
        <v>#REF!</v>
      </c>
    </row>
    <row r="17" spans="3:3">
      <c r="C17" t="s">
        <v>341</v>
      </c>
    </row>
  </sheetData>
  <mergeCells count="2">
    <mergeCell ref="A2:E2"/>
    <mergeCell ref="B3:C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27"/>
  <sheetViews>
    <sheetView topLeftCell="A4" workbookViewId="0">
      <selection activeCell="B4" sqref="B4:B22"/>
    </sheetView>
  </sheetViews>
  <sheetFormatPr defaultRowHeight="15"/>
  <cols>
    <col min="1" max="1" width="29.61328125" bestFit="1" customWidth="1"/>
  </cols>
  <sheetData>
    <row r="1" spans="1:5" ht="15.5" thickBot="1"/>
    <row r="2" spans="1:5" ht="15.5" thickBot="1">
      <c r="A2" s="136" t="s">
        <v>459</v>
      </c>
      <c r="B2" s="137"/>
      <c r="C2" s="137"/>
      <c r="D2" s="137"/>
      <c r="E2" s="138"/>
    </row>
    <row r="3" spans="1:5" ht="15.5" thickBot="1">
      <c r="A3" s="108"/>
      <c r="B3" s="139" t="s">
        <v>465</v>
      </c>
      <c r="C3" s="139"/>
      <c r="D3" s="109" t="s">
        <v>338</v>
      </c>
      <c r="E3" s="110" t="s">
        <v>10</v>
      </c>
    </row>
    <row r="4" spans="1:5">
      <c r="A4" s="112" t="s">
        <v>372</v>
      </c>
      <c r="B4" s="111"/>
      <c r="C4" s="99">
        <f>B4/1000</f>
        <v>0</v>
      </c>
      <c r="D4" s="99"/>
      <c r="E4" s="100">
        <f>C4*D4</f>
        <v>0</v>
      </c>
    </row>
    <row r="5" spans="1:5">
      <c r="A5" s="119" t="s">
        <v>385</v>
      </c>
      <c r="B5" s="120"/>
      <c r="C5" s="121"/>
      <c r="D5" s="121"/>
      <c r="E5" s="122"/>
    </row>
    <row r="6" spans="1:5">
      <c r="A6" s="119" t="s">
        <v>460</v>
      </c>
      <c r="B6" s="120"/>
      <c r="C6" s="121"/>
      <c r="D6" s="121"/>
      <c r="E6" s="122"/>
    </row>
    <row r="7" spans="1:5">
      <c r="A7" s="113" t="s">
        <v>411</v>
      </c>
      <c r="B7" s="95"/>
      <c r="C7" s="96">
        <f t="shared" ref="C7:C21" si="0">B7/1000</f>
        <v>0</v>
      </c>
      <c r="D7" s="96"/>
      <c r="E7" s="101">
        <f t="shared" ref="E7:E21" si="1">C7*D7</f>
        <v>0</v>
      </c>
    </row>
    <row r="8" spans="1:5">
      <c r="A8" s="113" t="s">
        <v>461</v>
      </c>
      <c r="B8" s="95"/>
      <c r="C8" s="96">
        <f t="shared" si="0"/>
        <v>0</v>
      </c>
      <c r="D8" s="96"/>
      <c r="E8" s="101">
        <f t="shared" si="1"/>
        <v>0</v>
      </c>
    </row>
    <row r="9" spans="1:5">
      <c r="A9" s="113" t="s">
        <v>462</v>
      </c>
      <c r="B9" s="95"/>
      <c r="C9" s="96">
        <f t="shared" si="0"/>
        <v>0</v>
      </c>
      <c r="D9" s="96"/>
      <c r="E9" s="101">
        <f t="shared" si="1"/>
        <v>0</v>
      </c>
    </row>
    <row r="10" spans="1:5">
      <c r="A10" s="113" t="s">
        <v>377</v>
      </c>
      <c r="B10" s="95"/>
      <c r="C10" s="96"/>
      <c r="D10" s="96"/>
      <c r="E10" s="101"/>
    </row>
    <row r="11" spans="1:5">
      <c r="A11" s="113" t="s">
        <v>379</v>
      </c>
      <c r="B11" s="95"/>
      <c r="C11" s="96"/>
      <c r="D11" s="96"/>
      <c r="E11" s="101"/>
    </row>
    <row r="12" spans="1:5">
      <c r="A12" s="113" t="s">
        <v>378</v>
      </c>
      <c r="B12" s="95"/>
      <c r="C12" s="96">
        <v>5</v>
      </c>
      <c r="D12" s="96"/>
      <c r="E12" s="101">
        <f t="shared" si="1"/>
        <v>0</v>
      </c>
    </row>
    <row r="13" spans="1:5">
      <c r="A13" s="113" t="s">
        <v>414</v>
      </c>
      <c r="B13" s="95"/>
      <c r="C13" s="96">
        <f t="shared" si="0"/>
        <v>0</v>
      </c>
      <c r="D13" s="96"/>
      <c r="E13" s="101">
        <f t="shared" si="1"/>
        <v>0</v>
      </c>
    </row>
    <row r="14" spans="1:5">
      <c r="A14" s="113" t="s">
        <v>387</v>
      </c>
      <c r="B14" s="95"/>
      <c r="C14" s="96">
        <f t="shared" si="0"/>
        <v>0</v>
      </c>
      <c r="D14" s="96"/>
      <c r="E14" s="101">
        <f t="shared" si="1"/>
        <v>0</v>
      </c>
    </row>
    <row r="15" spans="1:5">
      <c r="A15" s="113" t="s">
        <v>405</v>
      </c>
      <c r="B15" s="95"/>
      <c r="C15" s="96">
        <f t="shared" si="0"/>
        <v>0</v>
      </c>
      <c r="D15" s="96"/>
      <c r="E15" s="101">
        <f t="shared" si="1"/>
        <v>0</v>
      </c>
    </row>
    <row r="16" spans="1:5">
      <c r="A16" s="113" t="s">
        <v>386</v>
      </c>
      <c r="B16" s="95"/>
      <c r="C16" s="96">
        <f t="shared" si="0"/>
        <v>0</v>
      </c>
      <c r="D16" s="96"/>
      <c r="E16" s="101">
        <f t="shared" si="1"/>
        <v>0</v>
      </c>
    </row>
    <row r="17" spans="1:5">
      <c r="A17" s="113" t="s">
        <v>406</v>
      </c>
      <c r="B17" s="95"/>
      <c r="C17" s="96">
        <f t="shared" si="0"/>
        <v>0</v>
      </c>
      <c r="D17" s="96"/>
      <c r="E17" s="101">
        <f t="shared" si="1"/>
        <v>0</v>
      </c>
    </row>
    <row r="18" spans="1:5">
      <c r="A18" s="113" t="s">
        <v>409</v>
      </c>
      <c r="B18" s="95"/>
      <c r="C18" s="96">
        <f t="shared" si="0"/>
        <v>0</v>
      </c>
      <c r="D18" s="96"/>
      <c r="E18" s="101">
        <f t="shared" si="1"/>
        <v>0</v>
      </c>
    </row>
    <row r="19" spans="1:5">
      <c r="A19" s="113" t="s">
        <v>463</v>
      </c>
      <c r="B19" s="95"/>
      <c r="C19" s="96">
        <f t="shared" si="0"/>
        <v>0</v>
      </c>
      <c r="D19" s="96"/>
      <c r="E19" s="101">
        <f t="shared" si="1"/>
        <v>0</v>
      </c>
    </row>
    <row r="20" spans="1:5">
      <c r="A20" s="113" t="s">
        <v>464</v>
      </c>
      <c r="B20" s="95"/>
      <c r="C20" s="96">
        <f t="shared" si="0"/>
        <v>0</v>
      </c>
      <c r="D20" s="96"/>
      <c r="E20" s="101">
        <f t="shared" si="1"/>
        <v>0</v>
      </c>
    </row>
    <row r="21" spans="1:5">
      <c r="A21" s="113" t="s">
        <v>425</v>
      </c>
      <c r="B21" s="95"/>
      <c r="C21" s="96">
        <f t="shared" si="0"/>
        <v>0</v>
      </c>
      <c r="D21" s="96"/>
      <c r="E21" s="101">
        <f t="shared" si="1"/>
        <v>0</v>
      </c>
    </row>
    <row r="22" spans="1:5" ht="15.5" thickBot="1">
      <c r="A22" s="103"/>
      <c r="B22" s="104"/>
      <c r="C22" s="104"/>
      <c r="D22" s="104"/>
      <c r="E22" s="105"/>
    </row>
    <row r="23" spans="1:5">
      <c r="A23" s="106"/>
      <c r="B23" s="107"/>
      <c r="C23" s="107"/>
      <c r="D23" s="107"/>
      <c r="E23" s="107"/>
    </row>
    <row r="24" spans="1:5">
      <c r="A24" s="106"/>
      <c r="B24" s="107"/>
      <c r="C24" s="107"/>
      <c r="D24" s="107"/>
      <c r="E24" s="107"/>
    </row>
    <row r="25" spans="1:5">
      <c r="A25" s="106"/>
      <c r="B25" s="107"/>
      <c r="C25" s="107"/>
      <c r="D25" s="107"/>
      <c r="E25" s="107"/>
    </row>
    <row r="26" spans="1:5">
      <c r="C26" t="s">
        <v>340</v>
      </c>
      <c r="E26" t="e">
        <f>SUM(#REF!)</f>
        <v>#REF!</v>
      </c>
    </row>
    <row r="27" spans="1:5">
      <c r="C27" t="s">
        <v>341</v>
      </c>
    </row>
  </sheetData>
  <mergeCells count="2">
    <mergeCell ref="A2:E2"/>
    <mergeCell ref="B3:C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28"/>
  <sheetViews>
    <sheetView workbookViewId="0">
      <selection activeCell="B4" sqref="B4:B22"/>
    </sheetView>
  </sheetViews>
  <sheetFormatPr defaultRowHeight="15"/>
  <cols>
    <col min="1" max="1" width="29.61328125" bestFit="1" customWidth="1"/>
  </cols>
  <sheetData>
    <row r="1" spans="1:5" ht="15.5" thickBot="1"/>
    <row r="2" spans="1:5" ht="15.5" thickBot="1">
      <c r="A2" s="136" t="s">
        <v>466</v>
      </c>
      <c r="B2" s="137"/>
      <c r="C2" s="137"/>
      <c r="D2" s="137"/>
      <c r="E2" s="138"/>
    </row>
    <row r="3" spans="1:5" ht="15.5" thickBot="1">
      <c r="A3" s="108"/>
      <c r="B3" s="139" t="s">
        <v>465</v>
      </c>
      <c r="C3" s="139"/>
      <c r="D3" s="109" t="s">
        <v>338</v>
      </c>
      <c r="E3" s="110" t="s">
        <v>10</v>
      </c>
    </row>
    <row r="4" spans="1:5" ht="15.5" thickBot="1">
      <c r="A4" s="112" t="s">
        <v>372</v>
      </c>
      <c r="B4" s="111"/>
      <c r="C4" s="99">
        <f>B4/1000</f>
        <v>0</v>
      </c>
      <c r="D4" s="99"/>
      <c r="E4" s="100">
        <f>C4*D4</f>
        <v>0</v>
      </c>
    </row>
    <row r="5" spans="1:5" ht="15.5" thickBot="1">
      <c r="A5" s="119" t="s">
        <v>385</v>
      </c>
      <c r="B5" s="120"/>
      <c r="C5" s="99">
        <f t="shared" ref="C5:C6" si="0">B5/1000</f>
        <v>0</v>
      </c>
      <c r="D5" s="121"/>
      <c r="E5" s="122"/>
    </row>
    <row r="6" spans="1:5">
      <c r="A6" s="119" t="s">
        <v>460</v>
      </c>
      <c r="B6" s="120"/>
      <c r="C6" s="99">
        <f t="shared" si="0"/>
        <v>0</v>
      </c>
      <c r="D6" s="121"/>
      <c r="E6" s="122"/>
    </row>
    <row r="7" spans="1:5">
      <c r="A7" s="113" t="s">
        <v>411</v>
      </c>
      <c r="B7" s="95"/>
      <c r="C7" s="96">
        <f t="shared" ref="C7:C22" si="1">B7/1000</f>
        <v>0</v>
      </c>
      <c r="D7" s="96"/>
      <c r="E7" s="101">
        <f t="shared" ref="E7:E22" si="2">C7*D7</f>
        <v>0</v>
      </c>
    </row>
    <row r="8" spans="1:5">
      <c r="A8" s="113" t="s">
        <v>461</v>
      </c>
      <c r="B8" s="95"/>
      <c r="C8" s="96">
        <f t="shared" si="1"/>
        <v>0</v>
      </c>
      <c r="D8" s="96"/>
      <c r="E8" s="101">
        <f t="shared" si="2"/>
        <v>0</v>
      </c>
    </row>
    <row r="9" spans="1:5">
      <c r="A9" s="113" t="s">
        <v>462</v>
      </c>
      <c r="B9" s="95"/>
      <c r="C9" s="96">
        <f t="shared" si="1"/>
        <v>0</v>
      </c>
      <c r="D9" s="96"/>
      <c r="E9" s="101">
        <f t="shared" si="2"/>
        <v>0</v>
      </c>
    </row>
    <row r="10" spans="1:5">
      <c r="A10" s="113" t="s">
        <v>377</v>
      </c>
      <c r="B10" s="95"/>
      <c r="C10" s="96">
        <f t="shared" si="1"/>
        <v>0</v>
      </c>
      <c r="D10" s="96"/>
      <c r="E10" s="101"/>
    </row>
    <row r="11" spans="1:5">
      <c r="A11" s="113" t="s">
        <v>379</v>
      </c>
      <c r="B11" s="95"/>
      <c r="C11" s="96">
        <f t="shared" si="1"/>
        <v>0</v>
      </c>
      <c r="D11" s="96"/>
      <c r="E11" s="101"/>
    </row>
    <row r="12" spans="1:5">
      <c r="A12" s="113" t="s">
        <v>378</v>
      </c>
      <c r="B12" s="95"/>
      <c r="C12" s="96">
        <v>5</v>
      </c>
      <c r="D12" s="96"/>
      <c r="E12" s="101">
        <f t="shared" si="2"/>
        <v>0</v>
      </c>
    </row>
    <row r="13" spans="1:5">
      <c r="A13" s="113" t="s">
        <v>414</v>
      </c>
      <c r="B13" s="95"/>
      <c r="C13" s="96">
        <f t="shared" si="1"/>
        <v>0</v>
      </c>
      <c r="D13" s="96"/>
      <c r="E13" s="101">
        <f t="shared" si="2"/>
        <v>0</v>
      </c>
    </row>
    <row r="14" spans="1:5">
      <c r="A14" s="113" t="s">
        <v>387</v>
      </c>
      <c r="B14" s="95"/>
      <c r="C14" s="96">
        <f t="shared" si="1"/>
        <v>0</v>
      </c>
      <c r="D14" s="96"/>
      <c r="E14" s="101">
        <f t="shared" si="2"/>
        <v>0</v>
      </c>
    </row>
    <row r="15" spans="1:5">
      <c r="A15" s="113" t="s">
        <v>405</v>
      </c>
      <c r="B15" s="95"/>
      <c r="C15" s="96">
        <f t="shared" si="1"/>
        <v>0</v>
      </c>
      <c r="D15" s="96"/>
      <c r="E15" s="101">
        <f t="shared" si="2"/>
        <v>0</v>
      </c>
    </row>
    <row r="16" spans="1:5">
      <c r="A16" s="113" t="s">
        <v>386</v>
      </c>
      <c r="B16" s="95"/>
      <c r="C16" s="96">
        <f t="shared" si="1"/>
        <v>0</v>
      </c>
      <c r="D16" s="96"/>
      <c r="E16" s="101">
        <f t="shared" si="2"/>
        <v>0</v>
      </c>
    </row>
    <row r="17" spans="1:5">
      <c r="A17" s="113" t="s">
        <v>467</v>
      </c>
      <c r="B17" s="95"/>
      <c r="C17" s="96">
        <f t="shared" si="1"/>
        <v>0</v>
      </c>
      <c r="D17" s="96"/>
      <c r="E17" s="101">
        <f t="shared" si="2"/>
        <v>0</v>
      </c>
    </row>
    <row r="18" spans="1:5">
      <c r="A18" s="113" t="s">
        <v>409</v>
      </c>
      <c r="B18" s="95"/>
      <c r="C18" s="96">
        <f t="shared" si="1"/>
        <v>0</v>
      </c>
      <c r="D18" s="96"/>
      <c r="E18" s="101">
        <f t="shared" si="2"/>
        <v>0</v>
      </c>
    </row>
    <row r="19" spans="1:5">
      <c r="A19" s="113" t="s">
        <v>468</v>
      </c>
      <c r="B19" s="95"/>
      <c r="C19" s="96">
        <f t="shared" si="1"/>
        <v>0</v>
      </c>
      <c r="D19" s="96"/>
      <c r="E19" s="101">
        <f t="shared" si="2"/>
        <v>0</v>
      </c>
    </row>
    <row r="20" spans="1:5">
      <c r="A20" s="113" t="s">
        <v>463</v>
      </c>
      <c r="B20" s="95"/>
      <c r="C20" s="96">
        <f t="shared" si="1"/>
        <v>0</v>
      </c>
      <c r="D20" s="96"/>
      <c r="E20" s="101">
        <f t="shared" si="2"/>
        <v>0</v>
      </c>
    </row>
    <row r="21" spans="1:5">
      <c r="A21" s="113" t="s">
        <v>464</v>
      </c>
      <c r="B21" s="95"/>
      <c r="C21" s="96">
        <f t="shared" si="1"/>
        <v>0</v>
      </c>
      <c r="D21" s="96"/>
      <c r="E21" s="101">
        <f t="shared" si="2"/>
        <v>0</v>
      </c>
    </row>
    <row r="22" spans="1:5">
      <c r="A22" s="113" t="s">
        <v>425</v>
      </c>
      <c r="B22" s="95"/>
      <c r="C22" s="96">
        <f t="shared" si="1"/>
        <v>0</v>
      </c>
      <c r="D22" s="96"/>
      <c r="E22" s="101">
        <f t="shared" si="2"/>
        <v>0</v>
      </c>
    </row>
    <row r="23" spans="1:5" ht="15.5" thickBot="1">
      <c r="A23" s="103"/>
      <c r="B23" s="104"/>
      <c r="C23" s="104"/>
      <c r="D23" s="104"/>
      <c r="E23" s="105"/>
    </row>
    <row r="24" spans="1:5">
      <c r="A24" s="106"/>
      <c r="B24" s="107"/>
      <c r="C24" s="107"/>
      <c r="D24" s="107"/>
      <c r="E24" s="107"/>
    </row>
    <row r="25" spans="1:5">
      <c r="A25" s="106"/>
      <c r="B25" s="107"/>
      <c r="C25" s="107"/>
      <c r="D25" s="107"/>
      <c r="E25" s="107"/>
    </row>
    <row r="26" spans="1:5">
      <c r="A26" s="106"/>
      <c r="B26" s="107"/>
      <c r="C26" s="107"/>
      <c r="D26" s="107"/>
      <c r="E26" s="107"/>
    </row>
    <row r="27" spans="1:5">
      <c r="C27" t="s">
        <v>340</v>
      </c>
      <c r="E27" t="e">
        <f>SUM(#REF!)</f>
        <v>#REF!</v>
      </c>
    </row>
    <row r="28" spans="1:5">
      <c r="C28" t="s">
        <v>341</v>
      </c>
    </row>
  </sheetData>
  <mergeCells count="2">
    <mergeCell ref="A2:E2"/>
    <mergeCell ref="B3:C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24"/>
  <sheetViews>
    <sheetView workbookViewId="0">
      <selection activeCell="B4" sqref="B4:F19"/>
    </sheetView>
  </sheetViews>
  <sheetFormatPr defaultRowHeight="15"/>
  <cols>
    <col min="1" max="1" width="29.61328125" bestFit="1" customWidth="1"/>
  </cols>
  <sheetData>
    <row r="1" spans="1:5" ht="15.5" thickBot="1"/>
    <row r="2" spans="1:5" ht="15.5" thickBot="1">
      <c r="A2" s="136" t="s">
        <v>469</v>
      </c>
      <c r="B2" s="137"/>
      <c r="C2" s="137"/>
      <c r="D2" s="137"/>
      <c r="E2" s="138"/>
    </row>
    <row r="3" spans="1:5" ht="15.5" thickBot="1">
      <c r="A3" s="108"/>
      <c r="B3" s="139" t="s">
        <v>465</v>
      </c>
      <c r="C3" s="139"/>
      <c r="D3" s="109" t="s">
        <v>338</v>
      </c>
      <c r="E3" s="110" t="s">
        <v>10</v>
      </c>
    </row>
    <row r="4" spans="1:5">
      <c r="A4" s="112" t="s">
        <v>372</v>
      </c>
      <c r="B4" s="111"/>
      <c r="C4" s="109"/>
      <c r="D4" s="99"/>
      <c r="E4" s="110"/>
    </row>
    <row r="5" spans="1:5">
      <c r="A5" s="119" t="s">
        <v>385</v>
      </c>
      <c r="B5" s="120"/>
      <c r="C5" s="96"/>
      <c r="D5" s="121"/>
      <c r="E5" s="101"/>
    </row>
    <row r="6" spans="1:5">
      <c r="A6" s="119" t="s">
        <v>460</v>
      </c>
      <c r="B6" s="120"/>
      <c r="C6" s="96"/>
      <c r="D6" s="121"/>
      <c r="E6" s="101"/>
    </row>
    <row r="7" spans="1:5">
      <c r="A7" s="113" t="s">
        <v>411</v>
      </c>
      <c r="B7" s="95"/>
      <c r="C7" s="96"/>
      <c r="D7" s="96"/>
      <c r="E7" s="101"/>
    </row>
    <row r="8" spans="1:5">
      <c r="A8" s="113" t="s">
        <v>461</v>
      </c>
      <c r="B8" s="95"/>
      <c r="C8" s="96"/>
      <c r="D8" s="96"/>
      <c r="E8" s="101"/>
    </row>
    <row r="9" spans="1:5">
      <c r="A9" s="113" t="s">
        <v>400</v>
      </c>
      <c r="B9" s="95"/>
      <c r="C9" s="96"/>
      <c r="D9" s="96"/>
      <c r="E9" s="101"/>
    </row>
    <row r="10" spans="1:5">
      <c r="A10" s="113" t="s">
        <v>377</v>
      </c>
      <c r="B10" s="95"/>
      <c r="C10" s="96"/>
      <c r="D10" s="96"/>
      <c r="E10" s="101"/>
    </row>
    <row r="11" spans="1:5">
      <c r="A11" s="113" t="s">
        <v>379</v>
      </c>
      <c r="B11" s="95"/>
      <c r="C11" s="96"/>
      <c r="D11" s="96"/>
      <c r="E11" s="101"/>
    </row>
    <row r="12" spans="1:5">
      <c r="A12" s="113" t="s">
        <v>405</v>
      </c>
      <c r="B12" s="95"/>
      <c r="C12" s="96"/>
      <c r="D12" s="96"/>
      <c r="E12" s="101"/>
    </row>
    <row r="13" spans="1:5">
      <c r="A13" s="113" t="s">
        <v>435</v>
      </c>
      <c r="B13" s="95"/>
      <c r="C13" s="96"/>
      <c r="D13" s="96"/>
      <c r="E13" s="101"/>
    </row>
    <row r="14" spans="1:5">
      <c r="A14" s="113" t="s">
        <v>386</v>
      </c>
      <c r="B14" s="95"/>
      <c r="C14" s="96"/>
      <c r="D14" s="96"/>
      <c r="E14" s="101"/>
    </row>
    <row r="15" spans="1:5">
      <c r="A15" s="113" t="s">
        <v>448</v>
      </c>
      <c r="B15" s="95"/>
      <c r="C15" s="96"/>
      <c r="D15" s="96"/>
      <c r="E15" s="101"/>
    </row>
    <row r="16" spans="1:5">
      <c r="A16" s="113" t="s">
        <v>425</v>
      </c>
      <c r="B16" s="95"/>
      <c r="C16" s="96"/>
      <c r="D16" s="96"/>
      <c r="E16" s="101"/>
    </row>
    <row r="17" spans="1:5">
      <c r="A17" s="113" t="s">
        <v>404</v>
      </c>
      <c r="B17" s="95"/>
      <c r="C17" s="96"/>
      <c r="D17" s="96"/>
      <c r="E17" s="101"/>
    </row>
    <row r="18" spans="1:5">
      <c r="A18" s="113" t="s">
        <v>414</v>
      </c>
      <c r="B18" s="95"/>
      <c r="C18" s="121"/>
      <c r="D18" s="96"/>
      <c r="E18" s="122"/>
    </row>
    <row r="19" spans="1:5" ht="15.5" thickBot="1">
      <c r="A19" s="103"/>
      <c r="B19" s="104"/>
      <c r="C19" s="104"/>
      <c r="D19" s="104"/>
      <c r="E19" s="105"/>
    </row>
    <row r="20" spans="1:5">
      <c r="A20" s="106"/>
      <c r="B20" s="107"/>
      <c r="C20" s="107"/>
      <c r="D20" s="107"/>
      <c r="E20" s="107"/>
    </row>
    <row r="21" spans="1:5">
      <c r="A21" s="106"/>
      <c r="B21" s="107"/>
      <c r="C21" s="107"/>
      <c r="D21" s="107"/>
      <c r="E21" s="107"/>
    </row>
    <row r="22" spans="1:5">
      <c r="A22" s="106"/>
      <c r="B22" s="107"/>
      <c r="C22" s="107"/>
      <c r="D22" s="107"/>
      <c r="E22" s="107"/>
    </row>
    <row r="23" spans="1:5">
      <c r="C23" t="s">
        <v>340</v>
      </c>
      <c r="E23" t="e">
        <f>SUM(#REF!)</f>
        <v>#REF!</v>
      </c>
    </row>
    <row r="24" spans="1:5">
      <c r="C24" t="s">
        <v>341</v>
      </c>
    </row>
  </sheetData>
  <mergeCells count="2">
    <mergeCell ref="A2:E2"/>
    <mergeCell ref="B3:C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25"/>
  <sheetViews>
    <sheetView workbookViewId="0">
      <selection activeCell="B4" sqref="B4:E20"/>
    </sheetView>
  </sheetViews>
  <sheetFormatPr defaultRowHeight="15"/>
  <cols>
    <col min="1" max="1" width="21.4609375" bestFit="1" customWidth="1"/>
  </cols>
  <sheetData>
    <row r="1" spans="1:5" ht="15.5" thickBot="1"/>
    <row r="2" spans="1:5" ht="15.5" thickBot="1">
      <c r="A2" s="136" t="s">
        <v>470</v>
      </c>
      <c r="B2" s="137"/>
      <c r="C2" s="137"/>
      <c r="D2" s="137"/>
      <c r="E2" s="138"/>
    </row>
    <row r="3" spans="1:5" ht="15.5" thickBot="1">
      <c r="A3" s="108"/>
      <c r="B3" s="139" t="s">
        <v>471</v>
      </c>
      <c r="C3" s="139"/>
      <c r="D3" s="109" t="s">
        <v>338</v>
      </c>
      <c r="E3" s="110" t="s">
        <v>10</v>
      </c>
    </row>
    <row r="4" spans="1:5">
      <c r="A4" s="112" t="s">
        <v>372</v>
      </c>
      <c r="B4" s="111"/>
      <c r="C4" s="99"/>
      <c r="D4" s="99"/>
      <c r="E4" s="100"/>
    </row>
    <row r="5" spans="1:5">
      <c r="A5" s="113" t="s">
        <v>373</v>
      </c>
      <c r="B5" s="95"/>
      <c r="C5" s="96"/>
      <c r="D5" s="96"/>
      <c r="E5" s="101"/>
    </row>
    <row r="6" spans="1:5">
      <c r="A6" s="113" t="s">
        <v>377</v>
      </c>
      <c r="B6" s="95"/>
      <c r="C6" s="96"/>
      <c r="D6" s="96"/>
      <c r="E6" s="101"/>
    </row>
    <row r="7" spans="1:5">
      <c r="A7" s="113" t="s">
        <v>391</v>
      </c>
      <c r="B7" s="95"/>
      <c r="C7" s="96"/>
      <c r="D7" s="96"/>
      <c r="E7" s="101"/>
    </row>
    <row r="8" spans="1:5">
      <c r="A8" s="113" t="s">
        <v>378</v>
      </c>
      <c r="B8" s="95"/>
      <c r="C8" s="96"/>
      <c r="D8" s="96"/>
      <c r="E8" s="101"/>
    </row>
    <row r="9" spans="1:5">
      <c r="A9" s="113" t="s">
        <v>381</v>
      </c>
      <c r="B9" s="95"/>
      <c r="C9" s="96"/>
      <c r="D9" s="96"/>
      <c r="E9" s="101"/>
    </row>
    <row r="10" spans="1:5">
      <c r="A10" s="113" t="s">
        <v>406</v>
      </c>
      <c r="B10" s="95"/>
      <c r="C10" s="96"/>
      <c r="D10" s="96"/>
      <c r="E10" s="101"/>
    </row>
    <row r="11" spans="1:5">
      <c r="A11" s="113" t="s">
        <v>409</v>
      </c>
      <c r="B11" s="95"/>
      <c r="C11" s="96"/>
      <c r="D11" s="96"/>
      <c r="E11" s="101"/>
    </row>
    <row r="12" spans="1:5">
      <c r="A12" s="113" t="s">
        <v>472</v>
      </c>
      <c r="B12" s="95"/>
      <c r="C12" s="96"/>
      <c r="D12" s="96"/>
      <c r="E12" s="101"/>
    </row>
    <row r="13" spans="1:5">
      <c r="A13" s="113" t="s">
        <v>384</v>
      </c>
      <c r="B13" s="95"/>
      <c r="C13" s="96"/>
      <c r="D13" s="96"/>
      <c r="E13" s="101"/>
    </row>
    <row r="14" spans="1:5">
      <c r="A14" s="113" t="s">
        <v>374</v>
      </c>
      <c r="B14" s="95"/>
      <c r="C14" s="96"/>
      <c r="D14" s="96"/>
      <c r="E14" s="101"/>
    </row>
    <row r="15" spans="1:5">
      <c r="A15" s="113" t="s">
        <v>473</v>
      </c>
      <c r="B15" s="95"/>
      <c r="C15" s="96"/>
      <c r="D15" s="96"/>
      <c r="E15" s="101"/>
    </row>
    <row r="16" spans="1:5">
      <c r="A16" s="113" t="s">
        <v>401</v>
      </c>
      <c r="B16" s="95"/>
      <c r="C16" s="96"/>
      <c r="D16" s="96"/>
      <c r="E16" s="101"/>
    </row>
    <row r="17" spans="1:5">
      <c r="A17" s="113" t="s">
        <v>474</v>
      </c>
      <c r="B17" s="95"/>
      <c r="C17" s="96"/>
      <c r="D17" s="96"/>
      <c r="E17" s="101"/>
    </row>
    <row r="18" spans="1:5">
      <c r="A18" s="113" t="s">
        <v>403</v>
      </c>
      <c r="B18" s="95"/>
      <c r="C18" s="96"/>
      <c r="D18" s="96"/>
      <c r="E18" s="101"/>
    </row>
    <row r="19" spans="1:5">
      <c r="A19" s="102" t="s">
        <v>387</v>
      </c>
      <c r="B19" s="96"/>
      <c r="C19" s="96"/>
      <c r="D19" s="96"/>
      <c r="E19" s="101"/>
    </row>
    <row r="20" spans="1:5" ht="15.5" thickBot="1">
      <c r="A20" s="103" t="s">
        <v>386</v>
      </c>
      <c r="B20" s="104"/>
      <c r="C20" s="104"/>
      <c r="D20" s="104"/>
      <c r="E20" s="105"/>
    </row>
    <row r="21" spans="1:5">
      <c r="A21" s="106"/>
      <c r="B21" s="107"/>
      <c r="C21" s="107"/>
      <c r="D21" s="107"/>
      <c r="E21" s="107"/>
    </row>
    <row r="22" spans="1:5">
      <c r="A22" s="106"/>
      <c r="B22" s="107"/>
      <c r="C22" s="107"/>
      <c r="D22" s="107"/>
      <c r="E22" s="107"/>
    </row>
    <row r="23" spans="1:5">
      <c r="A23" s="106"/>
      <c r="B23" s="107"/>
      <c r="C23" s="107"/>
      <c r="D23" s="107"/>
      <c r="E23" s="107"/>
    </row>
    <row r="24" spans="1:5">
      <c r="C24" t="s">
        <v>340</v>
      </c>
      <c r="E24">
        <f>SUM(E19)</f>
        <v>0</v>
      </c>
    </row>
    <row r="25" spans="1:5">
      <c r="C25" t="s">
        <v>341</v>
      </c>
    </row>
  </sheetData>
  <mergeCells count="2">
    <mergeCell ref="A2:E2"/>
    <mergeCell ref="B3:C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26"/>
  <sheetViews>
    <sheetView workbookViewId="0">
      <selection activeCell="B4" sqref="B4:E26"/>
    </sheetView>
  </sheetViews>
  <sheetFormatPr defaultRowHeight="15"/>
  <cols>
    <col min="1" max="1" width="29.61328125" bestFit="1" customWidth="1"/>
  </cols>
  <sheetData>
    <row r="1" spans="1:5" ht="15.5" thickBot="1"/>
    <row r="2" spans="1:5" ht="15.5" thickBot="1">
      <c r="A2" s="136" t="s">
        <v>475</v>
      </c>
      <c r="B2" s="137"/>
      <c r="C2" s="137"/>
      <c r="D2" s="137"/>
      <c r="E2" s="138"/>
    </row>
    <row r="3" spans="1:5" ht="15.5" thickBot="1">
      <c r="A3" s="108"/>
      <c r="B3" s="139" t="s">
        <v>476</v>
      </c>
      <c r="C3" s="139"/>
      <c r="D3" s="109" t="s">
        <v>338</v>
      </c>
      <c r="E3" s="110" t="s">
        <v>10</v>
      </c>
    </row>
    <row r="4" spans="1:5">
      <c r="A4" s="112" t="s">
        <v>372</v>
      </c>
      <c r="B4" s="111"/>
      <c r="C4" s="109"/>
      <c r="D4" s="99"/>
      <c r="E4" s="100"/>
    </row>
    <row r="5" spans="1:5">
      <c r="A5" s="119" t="s">
        <v>460</v>
      </c>
      <c r="B5" s="120"/>
      <c r="C5" s="96"/>
      <c r="D5" s="121"/>
      <c r="E5" s="122"/>
    </row>
    <row r="6" spans="1:5">
      <c r="A6" s="113" t="s">
        <v>411</v>
      </c>
      <c r="B6" s="120"/>
      <c r="C6" s="96"/>
      <c r="D6" s="121"/>
      <c r="E6" s="122"/>
    </row>
    <row r="7" spans="1:5">
      <c r="A7" s="113" t="s">
        <v>461</v>
      </c>
      <c r="B7" s="95"/>
      <c r="C7" s="96"/>
      <c r="D7" s="96"/>
      <c r="E7" s="101"/>
    </row>
    <row r="8" spans="1:5">
      <c r="A8" s="113" t="s">
        <v>400</v>
      </c>
      <c r="B8" s="95"/>
      <c r="C8" s="96"/>
      <c r="D8" s="96"/>
      <c r="E8" s="101"/>
    </row>
    <row r="9" spans="1:5">
      <c r="A9" s="113" t="s">
        <v>396</v>
      </c>
      <c r="B9" s="95"/>
      <c r="C9" s="96"/>
      <c r="D9" s="96"/>
      <c r="E9" s="101"/>
    </row>
    <row r="10" spans="1:5">
      <c r="A10" s="113" t="s">
        <v>374</v>
      </c>
      <c r="B10" s="95"/>
      <c r="C10" s="96"/>
      <c r="D10" s="96"/>
      <c r="E10" s="101"/>
    </row>
    <row r="11" spans="1:5">
      <c r="A11" s="113" t="s">
        <v>384</v>
      </c>
      <c r="B11" s="95"/>
      <c r="C11" s="96"/>
      <c r="D11" s="96"/>
      <c r="E11" s="101"/>
    </row>
    <row r="12" spans="1:5">
      <c r="A12" s="113" t="s">
        <v>387</v>
      </c>
      <c r="B12" s="95"/>
      <c r="C12" s="96"/>
      <c r="D12" s="96"/>
      <c r="E12" s="101"/>
    </row>
    <row r="13" spans="1:5">
      <c r="A13" s="113" t="s">
        <v>473</v>
      </c>
      <c r="B13" s="95"/>
      <c r="C13" s="96"/>
      <c r="D13" s="96"/>
      <c r="E13" s="101"/>
    </row>
    <row r="14" spans="1:5">
      <c r="A14" s="113" t="s">
        <v>404</v>
      </c>
      <c r="B14" s="95"/>
      <c r="C14" s="96"/>
      <c r="D14" s="96"/>
      <c r="E14" s="101"/>
    </row>
    <row r="15" spans="1:5">
      <c r="A15" s="113" t="s">
        <v>406</v>
      </c>
      <c r="B15" s="95"/>
      <c r="C15" s="96"/>
      <c r="D15" s="96"/>
      <c r="E15" s="101"/>
    </row>
    <row r="16" spans="1:5">
      <c r="A16" s="113" t="s">
        <v>409</v>
      </c>
      <c r="B16" s="95"/>
      <c r="C16" s="96"/>
      <c r="D16" s="96"/>
      <c r="E16" s="101"/>
    </row>
    <row r="17" spans="1:5">
      <c r="A17" s="113" t="s">
        <v>467</v>
      </c>
      <c r="B17" s="95"/>
      <c r="C17" s="96"/>
      <c r="D17" s="96"/>
      <c r="E17" s="101"/>
    </row>
    <row r="18" spans="1:5">
      <c r="A18" s="113" t="s">
        <v>468</v>
      </c>
      <c r="B18" s="95"/>
      <c r="C18" s="96"/>
      <c r="D18" s="96"/>
      <c r="E18" s="101"/>
    </row>
    <row r="19" spans="1:5">
      <c r="A19" s="113" t="s">
        <v>477</v>
      </c>
      <c r="B19" s="95"/>
      <c r="C19" s="96"/>
      <c r="D19" s="96"/>
      <c r="E19" s="101"/>
    </row>
    <row r="20" spans="1:5">
      <c r="A20" s="113" t="s">
        <v>389</v>
      </c>
      <c r="B20" s="95"/>
      <c r="C20" s="96"/>
      <c r="D20" s="96"/>
      <c r="E20" s="101"/>
    </row>
    <row r="21" spans="1:5">
      <c r="A21" s="113" t="s">
        <v>379</v>
      </c>
      <c r="B21" s="95"/>
      <c r="C21" s="96"/>
      <c r="D21" s="96"/>
      <c r="E21" s="101"/>
    </row>
    <row r="22" spans="1:5">
      <c r="A22" s="113" t="s">
        <v>378</v>
      </c>
      <c r="B22" s="95"/>
      <c r="C22" s="96"/>
      <c r="D22" s="96"/>
      <c r="E22" s="101"/>
    </row>
    <row r="23" spans="1:5">
      <c r="A23" s="102" t="s">
        <v>425</v>
      </c>
      <c r="B23" s="95"/>
      <c r="C23" s="96"/>
      <c r="D23" s="96"/>
      <c r="E23" s="101"/>
    </row>
    <row r="24" spans="1:5">
      <c r="A24" s="102" t="s">
        <v>381</v>
      </c>
      <c r="B24" s="95"/>
      <c r="C24" s="96"/>
      <c r="D24" s="96"/>
      <c r="E24" s="101"/>
    </row>
    <row r="25" spans="1:5">
      <c r="A25" s="102" t="s">
        <v>386</v>
      </c>
      <c r="B25" s="95"/>
      <c r="C25" s="96"/>
      <c r="D25" s="96"/>
      <c r="E25" s="101"/>
    </row>
    <row r="26" spans="1:5" ht="15.5" thickBot="1">
      <c r="A26" s="103" t="s">
        <v>403</v>
      </c>
      <c r="B26" s="118"/>
      <c r="C26" s="123"/>
      <c r="D26" s="104"/>
      <c r="E26" s="105"/>
    </row>
  </sheetData>
  <mergeCells count="2">
    <mergeCell ref="A2:E2"/>
    <mergeCell ref="B3:C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21"/>
  <sheetViews>
    <sheetView topLeftCell="A3" workbookViewId="0">
      <selection activeCell="B4" sqref="B4:E20"/>
    </sheetView>
  </sheetViews>
  <sheetFormatPr defaultRowHeight="15"/>
  <cols>
    <col min="1" max="1" width="29.61328125" bestFit="1" customWidth="1"/>
  </cols>
  <sheetData>
    <row r="1" spans="1:5" ht="15.5" thickBot="1"/>
    <row r="2" spans="1:5" ht="15.5" thickBot="1">
      <c r="A2" s="136" t="s">
        <v>478</v>
      </c>
      <c r="B2" s="137"/>
      <c r="C2" s="137"/>
      <c r="D2" s="137"/>
      <c r="E2" s="138"/>
    </row>
    <row r="3" spans="1:5" ht="15.5" thickBot="1">
      <c r="A3" s="108"/>
      <c r="B3" s="139" t="s">
        <v>471</v>
      </c>
      <c r="C3" s="139"/>
      <c r="D3" s="109" t="s">
        <v>338</v>
      </c>
      <c r="E3" s="110" t="s">
        <v>10</v>
      </c>
    </row>
    <row r="4" spans="1:5">
      <c r="A4" s="112" t="s">
        <v>372</v>
      </c>
      <c r="B4" s="111"/>
      <c r="C4" s="109"/>
      <c r="D4" s="99"/>
      <c r="E4" s="110"/>
    </row>
    <row r="5" spans="1:5">
      <c r="A5" s="119" t="s">
        <v>460</v>
      </c>
      <c r="B5" s="120"/>
      <c r="C5" s="96"/>
      <c r="D5" s="121"/>
      <c r="E5" s="101"/>
    </row>
    <row r="6" spans="1:5">
      <c r="A6" s="113" t="s">
        <v>473</v>
      </c>
      <c r="B6" s="120"/>
      <c r="C6" s="96"/>
      <c r="D6" s="121"/>
      <c r="E6" s="101"/>
    </row>
    <row r="7" spans="1:5">
      <c r="A7" s="113" t="s">
        <v>377</v>
      </c>
      <c r="B7" s="95"/>
      <c r="C7" s="96"/>
      <c r="D7" s="96"/>
      <c r="E7" s="101"/>
    </row>
    <row r="8" spans="1:5">
      <c r="A8" s="113" t="s">
        <v>425</v>
      </c>
      <c r="B8" s="95"/>
      <c r="C8" s="96"/>
      <c r="D8" s="96"/>
      <c r="E8" s="101"/>
    </row>
    <row r="9" spans="1:5">
      <c r="A9" s="113" t="s">
        <v>443</v>
      </c>
      <c r="B9" s="95"/>
      <c r="C9" s="96"/>
      <c r="D9" s="96"/>
      <c r="E9" s="101"/>
    </row>
    <row r="10" spans="1:5">
      <c r="A10" s="113" t="s">
        <v>479</v>
      </c>
      <c r="B10" s="95"/>
      <c r="C10" s="96"/>
      <c r="D10" s="96"/>
      <c r="E10" s="101"/>
    </row>
    <row r="11" spans="1:5">
      <c r="A11" s="113" t="s">
        <v>480</v>
      </c>
      <c r="B11" s="95"/>
      <c r="C11" s="96"/>
      <c r="D11" s="96"/>
      <c r="E11" s="101"/>
    </row>
    <row r="12" spans="1:5">
      <c r="A12" s="113" t="s">
        <v>448</v>
      </c>
      <c r="B12" s="95"/>
      <c r="C12" s="96"/>
      <c r="D12" s="96"/>
      <c r="E12" s="101"/>
    </row>
    <row r="13" spans="1:5">
      <c r="A13" s="113" t="s">
        <v>386</v>
      </c>
      <c r="B13" s="95"/>
      <c r="C13" s="96"/>
      <c r="D13" s="96"/>
      <c r="E13" s="101"/>
    </row>
    <row r="14" spans="1:5">
      <c r="A14" s="113" t="s">
        <v>481</v>
      </c>
      <c r="B14" s="95"/>
      <c r="C14" s="96"/>
      <c r="D14" s="96"/>
      <c r="E14" s="101"/>
    </row>
    <row r="15" spans="1:5">
      <c r="A15" s="113" t="s">
        <v>435</v>
      </c>
      <c r="B15" s="95"/>
      <c r="C15" s="96"/>
      <c r="D15" s="96"/>
      <c r="E15" s="101"/>
    </row>
    <row r="16" spans="1:5">
      <c r="A16" s="113" t="s">
        <v>482</v>
      </c>
      <c r="B16" s="95"/>
      <c r="C16" s="96"/>
      <c r="D16" s="96"/>
      <c r="E16" s="101"/>
    </row>
    <row r="17" spans="1:5">
      <c r="A17" s="113" t="s">
        <v>483</v>
      </c>
      <c r="B17" s="95"/>
      <c r="C17" s="96"/>
      <c r="D17" s="96"/>
      <c r="E17" s="101"/>
    </row>
    <row r="18" spans="1:5">
      <c r="A18" s="113" t="s">
        <v>484</v>
      </c>
      <c r="B18" s="95"/>
      <c r="C18" s="96"/>
      <c r="D18" s="96"/>
      <c r="E18" s="101"/>
    </row>
    <row r="19" spans="1:5">
      <c r="A19" s="113" t="s">
        <v>485</v>
      </c>
      <c r="B19" s="95"/>
      <c r="C19" s="96"/>
      <c r="D19" s="96"/>
      <c r="E19" s="101"/>
    </row>
    <row r="20" spans="1:5">
      <c r="A20" s="113" t="s">
        <v>378</v>
      </c>
      <c r="B20" s="95"/>
      <c r="C20" s="96"/>
      <c r="D20" s="96"/>
      <c r="E20" s="122"/>
    </row>
    <row r="21" spans="1:5" ht="15.5" thickBot="1">
      <c r="A21" s="103"/>
      <c r="B21" s="118"/>
      <c r="C21" s="123"/>
      <c r="D21" s="104"/>
      <c r="E21" s="105"/>
    </row>
  </sheetData>
  <mergeCells count="2">
    <mergeCell ref="A2:E2"/>
    <mergeCell ref="B3:C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18"/>
  <sheetViews>
    <sheetView workbookViewId="0">
      <selection activeCell="B4" sqref="B4:E17"/>
    </sheetView>
  </sheetViews>
  <sheetFormatPr defaultRowHeight="15"/>
  <cols>
    <col min="1" max="1" width="29.61328125" bestFit="1" customWidth="1"/>
  </cols>
  <sheetData>
    <row r="1" spans="1:5" ht="15.5" thickBot="1"/>
    <row r="2" spans="1:5" ht="15.5" thickBot="1">
      <c r="A2" s="136" t="s">
        <v>486</v>
      </c>
      <c r="B2" s="137"/>
      <c r="C2" s="137"/>
      <c r="D2" s="137"/>
      <c r="E2" s="138"/>
    </row>
    <row r="3" spans="1:5" ht="15.5" thickBot="1">
      <c r="A3" s="108"/>
      <c r="B3" s="139" t="s">
        <v>487</v>
      </c>
      <c r="C3" s="139"/>
      <c r="D3" s="109" t="s">
        <v>338</v>
      </c>
      <c r="E3" s="110" t="s">
        <v>10</v>
      </c>
    </row>
    <row r="4" spans="1:5">
      <c r="A4" s="112" t="s">
        <v>372</v>
      </c>
      <c r="B4" s="111"/>
      <c r="C4" s="109"/>
      <c r="D4" s="99"/>
      <c r="E4" s="110"/>
    </row>
    <row r="5" spans="1:5">
      <c r="A5" s="119" t="s">
        <v>488</v>
      </c>
      <c r="B5" s="120"/>
      <c r="C5" s="96"/>
      <c r="D5" s="121"/>
      <c r="E5" s="101"/>
    </row>
    <row r="6" spans="1:5">
      <c r="A6" s="113" t="s">
        <v>421</v>
      </c>
      <c r="B6" s="120"/>
      <c r="C6" s="96"/>
      <c r="D6" s="121"/>
      <c r="E6" s="101"/>
    </row>
    <row r="7" spans="1:5">
      <c r="A7" s="113" t="s">
        <v>393</v>
      </c>
      <c r="B7" s="95"/>
      <c r="C7" s="96"/>
      <c r="D7" s="96"/>
      <c r="E7" s="101"/>
    </row>
    <row r="8" spans="1:5">
      <c r="A8" s="113" t="s">
        <v>384</v>
      </c>
      <c r="B8" s="95"/>
      <c r="C8" s="96"/>
      <c r="D8" s="96"/>
      <c r="E8" s="101"/>
    </row>
    <row r="9" spans="1:5">
      <c r="A9" s="113" t="s">
        <v>380</v>
      </c>
      <c r="B9" s="95"/>
      <c r="C9" s="96"/>
      <c r="D9" s="96"/>
      <c r="E9" s="101"/>
    </row>
    <row r="10" spans="1:5">
      <c r="A10" s="113" t="s">
        <v>432</v>
      </c>
      <c r="B10" s="95"/>
      <c r="C10" s="96"/>
      <c r="D10" s="96"/>
      <c r="E10" s="101"/>
    </row>
    <row r="11" spans="1:5">
      <c r="A11" s="113" t="s">
        <v>377</v>
      </c>
      <c r="B11" s="95"/>
      <c r="C11" s="96"/>
      <c r="D11" s="96"/>
      <c r="E11" s="101"/>
    </row>
    <row r="12" spans="1:5">
      <c r="A12" s="113" t="s">
        <v>378</v>
      </c>
      <c r="B12" s="95"/>
      <c r="C12" s="96"/>
      <c r="D12" s="96"/>
      <c r="E12" s="101"/>
    </row>
    <row r="13" spans="1:5">
      <c r="A13" s="113" t="s">
        <v>489</v>
      </c>
      <c r="B13" s="95"/>
      <c r="C13" s="96"/>
      <c r="D13" s="96"/>
      <c r="E13" s="101"/>
    </row>
    <row r="14" spans="1:5">
      <c r="A14" s="113" t="s">
        <v>414</v>
      </c>
      <c r="B14" s="95"/>
      <c r="C14" s="96"/>
      <c r="D14" s="96"/>
      <c r="E14" s="101"/>
    </row>
    <row r="15" spans="1:5">
      <c r="A15" s="113" t="s">
        <v>474</v>
      </c>
      <c r="B15" s="95"/>
      <c r="C15" s="96"/>
      <c r="D15" s="96"/>
      <c r="E15" s="101"/>
    </row>
    <row r="16" spans="1:5">
      <c r="A16" s="113" t="s">
        <v>386</v>
      </c>
      <c r="B16" s="95"/>
      <c r="C16" s="96"/>
      <c r="D16" s="96"/>
      <c r="E16" s="101"/>
    </row>
    <row r="17" spans="1:5">
      <c r="A17" s="113" t="s">
        <v>418</v>
      </c>
      <c r="B17" s="95"/>
      <c r="C17" s="96"/>
      <c r="D17" s="96"/>
      <c r="E17" s="101"/>
    </row>
    <row r="18" spans="1:5" ht="15.5" thickBot="1">
      <c r="A18" s="103"/>
      <c r="B18" s="118"/>
      <c r="C18" s="123"/>
      <c r="D18" s="104"/>
      <c r="E18" s="105"/>
    </row>
  </sheetData>
  <mergeCells count="2">
    <mergeCell ref="A2:E2"/>
    <mergeCell ref="B3:C3"/>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6"/>
  <sheetViews>
    <sheetView workbookViewId="0">
      <selection activeCell="B4" sqref="B4:E15"/>
    </sheetView>
  </sheetViews>
  <sheetFormatPr defaultRowHeight="15"/>
  <cols>
    <col min="1" max="1" width="29.61328125" bestFit="1" customWidth="1"/>
  </cols>
  <sheetData>
    <row r="1" spans="1:5" ht="15.5" thickBot="1"/>
    <row r="2" spans="1:5" ht="15.5" thickBot="1">
      <c r="A2" s="136" t="s">
        <v>490</v>
      </c>
      <c r="B2" s="137"/>
      <c r="C2" s="137"/>
      <c r="D2" s="137"/>
      <c r="E2" s="138"/>
    </row>
    <row r="3" spans="1:5" ht="15.5" thickBot="1">
      <c r="A3" s="108"/>
      <c r="B3" s="139" t="s">
        <v>487</v>
      </c>
      <c r="C3" s="139"/>
      <c r="D3" s="109" t="s">
        <v>338</v>
      </c>
      <c r="E3" s="110" t="s">
        <v>10</v>
      </c>
    </row>
    <row r="4" spans="1:5">
      <c r="A4" s="112" t="s">
        <v>372</v>
      </c>
      <c r="B4" s="111"/>
      <c r="C4" s="109"/>
      <c r="D4" s="99"/>
      <c r="E4" s="110"/>
    </row>
    <row r="5" spans="1:5">
      <c r="A5" s="119" t="s">
        <v>377</v>
      </c>
      <c r="B5" s="120"/>
      <c r="C5" s="96"/>
      <c r="D5" s="121"/>
      <c r="E5" s="101"/>
    </row>
    <row r="6" spans="1:5">
      <c r="A6" s="113" t="s">
        <v>373</v>
      </c>
      <c r="B6" s="120"/>
      <c r="C6" s="96"/>
      <c r="D6" s="121"/>
      <c r="E6" s="101"/>
    </row>
    <row r="7" spans="1:5">
      <c r="A7" s="113" t="s">
        <v>378</v>
      </c>
      <c r="B7" s="95"/>
      <c r="C7" s="96"/>
      <c r="D7" s="96"/>
      <c r="E7" s="101"/>
    </row>
    <row r="8" spans="1:5">
      <c r="A8" s="113" t="s">
        <v>379</v>
      </c>
      <c r="B8" s="95"/>
      <c r="C8" s="96"/>
      <c r="D8" s="96"/>
      <c r="E8" s="101"/>
    </row>
    <row r="9" spans="1:5">
      <c r="A9" s="113" t="s">
        <v>381</v>
      </c>
      <c r="B9" s="95"/>
      <c r="C9" s="96"/>
      <c r="D9" s="96"/>
      <c r="E9" s="101"/>
    </row>
    <row r="10" spans="1:5">
      <c r="A10" s="113" t="s">
        <v>380</v>
      </c>
      <c r="B10" s="95"/>
      <c r="C10" s="96"/>
      <c r="D10" s="96"/>
      <c r="E10" s="101"/>
    </row>
    <row r="11" spans="1:5">
      <c r="A11" s="113" t="s">
        <v>406</v>
      </c>
      <c r="B11" s="95"/>
      <c r="C11" s="96"/>
      <c r="D11" s="96"/>
      <c r="E11" s="101"/>
    </row>
    <row r="12" spans="1:5">
      <c r="A12" s="113" t="s">
        <v>409</v>
      </c>
      <c r="B12" s="95"/>
      <c r="C12" s="96"/>
      <c r="D12" s="96"/>
      <c r="E12" s="101"/>
    </row>
    <row r="13" spans="1:5">
      <c r="A13" s="113" t="s">
        <v>410</v>
      </c>
      <c r="B13" s="95"/>
      <c r="C13" s="96"/>
      <c r="D13" s="96"/>
      <c r="E13" s="101"/>
    </row>
    <row r="14" spans="1:5">
      <c r="A14" s="113" t="s">
        <v>491</v>
      </c>
      <c r="B14" s="95"/>
      <c r="C14" s="96"/>
      <c r="D14" s="96"/>
      <c r="E14" s="101"/>
    </row>
    <row r="15" spans="1:5">
      <c r="A15" s="113" t="s">
        <v>386</v>
      </c>
      <c r="B15" s="95"/>
      <c r="C15" s="96"/>
      <c r="D15" s="96"/>
      <c r="E15" s="101"/>
    </row>
    <row r="16" spans="1:5" ht="15.5" thickBot="1">
      <c r="A16" s="103"/>
      <c r="B16" s="118"/>
      <c r="C16" s="123"/>
      <c r="D16" s="104"/>
      <c r="E16" s="105"/>
    </row>
  </sheetData>
  <mergeCells count="2">
    <mergeCell ref="A2:E2"/>
    <mergeCell ref="B3:C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11"/>
  <sheetViews>
    <sheetView workbookViewId="0">
      <selection activeCell="B4" sqref="B4:F11"/>
    </sheetView>
  </sheetViews>
  <sheetFormatPr defaultRowHeight="15"/>
  <cols>
    <col min="1" max="1" width="29.61328125" bestFit="1" customWidth="1"/>
  </cols>
  <sheetData>
    <row r="1" spans="1:5" ht="15.5" thickBot="1"/>
    <row r="2" spans="1:5" ht="15.5" thickBot="1">
      <c r="A2" s="136" t="s">
        <v>492</v>
      </c>
      <c r="B2" s="137"/>
      <c r="C2" s="137"/>
      <c r="D2" s="137"/>
      <c r="E2" s="138"/>
    </row>
    <row r="3" spans="1:5" ht="15.5" thickBot="1">
      <c r="A3" s="108"/>
      <c r="B3" s="139" t="s">
        <v>487</v>
      </c>
      <c r="C3" s="139"/>
      <c r="D3" s="109" t="s">
        <v>338</v>
      </c>
      <c r="E3" s="110" t="s">
        <v>10</v>
      </c>
    </row>
    <row r="4" spans="1:5">
      <c r="A4" s="112" t="s">
        <v>397</v>
      </c>
      <c r="B4" s="111"/>
      <c r="C4" s="109"/>
      <c r="D4" s="99"/>
      <c r="E4" s="110"/>
    </row>
    <row r="5" spans="1:5">
      <c r="A5" s="119" t="s">
        <v>493</v>
      </c>
      <c r="B5" s="120"/>
      <c r="C5" s="96"/>
      <c r="D5" s="121"/>
      <c r="E5" s="101"/>
    </row>
    <row r="6" spans="1:5">
      <c r="A6" s="113" t="s">
        <v>393</v>
      </c>
      <c r="B6" s="120"/>
      <c r="C6" s="96"/>
      <c r="D6" s="121"/>
      <c r="E6" s="101"/>
    </row>
    <row r="7" spans="1:5">
      <c r="A7" s="113" t="s">
        <v>432</v>
      </c>
      <c r="B7" s="95"/>
      <c r="C7" s="96"/>
      <c r="D7" s="96"/>
      <c r="E7" s="101"/>
    </row>
    <row r="8" spans="1:5">
      <c r="A8" s="113" t="s">
        <v>380</v>
      </c>
      <c r="B8" s="95"/>
      <c r="C8" s="96"/>
      <c r="D8" s="96"/>
      <c r="E8" s="101"/>
    </row>
    <row r="9" spans="1:5">
      <c r="A9" s="113" t="s">
        <v>386</v>
      </c>
      <c r="B9" s="95"/>
      <c r="C9" s="96"/>
      <c r="D9" s="96"/>
      <c r="E9" s="101"/>
    </row>
    <row r="10" spans="1:5">
      <c r="A10" s="113" t="s">
        <v>379</v>
      </c>
      <c r="B10" s="95"/>
      <c r="C10" s="96"/>
      <c r="D10" s="96"/>
      <c r="E10" s="101"/>
    </row>
    <row r="11" spans="1:5" ht="15.5" thickBot="1">
      <c r="A11" s="103"/>
      <c r="B11" s="118"/>
      <c r="C11" s="123"/>
      <c r="D11" s="104"/>
      <c r="E11" s="105"/>
    </row>
  </sheetData>
  <mergeCells count="2">
    <mergeCell ref="A2:E2"/>
    <mergeCell ref="B3:C3"/>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15"/>
  <sheetViews>
    <sheetView workbookViewId="0">
      <selection activeCell="H4" sqref="H4:I7"/>
    </sheetView>
  </sheetViews>
  <sheetFormatPr defaultRowHeight="15"/>
  <cols>
    <col min="1" max="1" width="21" customWidth="1"/>
    <col min="7" max="7" width="21.4609375" bestFit="1" customWidth="1"/>
  </cols>
  <sheetData>
    <row r="1" spans="1:11" ht="15.5" thickBot="1"/>
    <row r="2" spans="1:11" ht="15.5" thickBot="1">
      <c r="A2" s="136" t="s">
        <v>494</v>
      </c>
      <c r="B2" s="137"/>
      <c r="C2" s="137"/>
      <c r="D2" s="137"/>
      <c r="E2" s="138"/>
      <c r="G2" s="136" t="s">
        <v>495</v>
      </c>
      <c r="H2" s="137"/>
      <c r="I2" s="137"/>
      <c r="J2" s="137"/>
      <c r="K2" s="138"/>
    </row>
    <row r="3" spans="1:11" ht="15.5" thickBot="1">
      <c r="A3" s="108"/>
      <c r="B3" s="139" t="s">
        <v>487</v>
      </c>
      <c r="C3" s="139"/>
      <c r="D3" s="109" t="s">
        <v>338</v>
      </c>
      <c r="E3" s="110" t="s">
        <v>10</v>
      </c>
      <c r="G3" s="108"/>
      <c r="H3" s="139" t="s">
        <v>487</v>
      </c>
      <c r="I3" s="139"/>
      <c r="J3" s="109" t="s">
        <v>338</v>
      </c>
      <c r="K3" s="110" t="s">
        <v>10</v>
      </c>
    </row>
    <row r="4" spans="1:11">
      <c r="A4" s="112" t="s">
        <v>435</v>
      </c>
      <c r="B4" s="111"/>
      <c r="C4" s="109"/>
      <c r="D4" s="99"/>
      <c r="E4" s="110">
        <f>C4*D4</f>
        <v>0</v>
      </c>
      <c r="G4" s="112" t="s">
        <v>435</v>
      </c>
      <c r="H4" s="111"/>
      <c r="I4" s="109"/>
      <c r="J4" s="99"/>
      <c r="K4" s="110">
        <f>I4*J4</f>
        <v>0</v>
      </c>
    </row>
    <row r="5" spans="1:11">
      <c r="A5" s="119" t="s">
        <v>448</v>
      </c>
      <c r="B5" s="120"/>
      <c r="C5" s="96"/>
      <c r="D5" s="121"/>
      <c r="E5" s="101">
        <f t="shared" ref="E5:E8" si="0">C5*D5</f>
        <v>0</v>
      </c>
      <c r="G5" s="119" t="s">
        <v>448</v>
      </c>
      <c r="H5" s="120"/>
      <c r="I5" s="96"/>
      <c r="J5" s="121"/>
      <c r="K5" s="101">
        <f t="shared" ref="K5:K6" si="1">I5*J5</f>
        <v>0</v>
      </c>
    </row>
    <row r="6" spans="1:11">
      <c r="A6" s="113" t="s">
        <v>497</v>
      </c>
      <c r="B6" s="120"/>
      <c r="C6" s="96"/>
      <c r="D6" s="121"/>
      <c r="E6" s="101">
        <f t="shared" si="0"/>
        <v>0</v>
      </c>
      <c r="G6" s="113" t="s">
        <v>498</v>
      </c>
      <c r="H6" s="120"/>
      <c r="I6" s="96"/>
      <c r="J6" s="121"/>
      <c r="K6" s="101">
        <f t="shared" si="1"/>
        <v>0</v>
      </c>
    </row>
    <row r="7" spans="1:11" ht="15.5" thickBot="1">
      <c r="A7" s="113" t="s">
        <v>432</v>
      </c>
      <c r="B7" s="95"/>
      <c r="C7" s="96"/>
      <c r="D7" s="96"/>
      <c r="E7" s="101">
        <f t="shared" si="0"/>
        <v>0</v>
      </c>
      <c r="G7" s="103"/>
      <c r="H7" s="118"/>
      <c r="I7" s="123"/>
      <c r="J7" s="104"/>
      <c r="K7" s="105"/>
    </row>
    <row r="8" spans="1:11">
      <c r="A8" s="113" t="s">
        <v>411</v>
      </c>
      <c r="B8" s="95"/>
      <c r="C8" s="96"/>
      <c r="D8" s="96"/>
      <c r="E8" s="101">
        <f t="shared" si="0"/>
        <v>0</v>
      </c>
    </row>
    <row r="9" spans="1:11" ht="15.5" thickBot="1">
      <c r="A9" s="103"/>
      <c r="B9" s="118"/>
      <c r="C9" s="123"/>
      <c r="D9" s="104"/>
      <c r="E9" s="105"/>
    </row>
    <row r="10" spans="1:11" ht="15.5" thickBot="1"/>
    <row r="11" spans="1:11" ht="15.5" thickBot="1">
      <c r="A11" s="136" t="s">
        <v>496</v>
      </c>
      <c r="B11" s="137"/>
      <c r="C11" s="137"/>
      <c r="D11" s="137"/>
      <c r="E11" s="138"/>
    </row>
    <row r="12" spans="1:11" ht="15.5" thickBot="1">
      <c r="A12" s="108"/>
      <c r="B12" s="139" t="s">
        <v>487</v>
      </c>
      <c r="C12" s="139"/>
      <c r="D12" s="109" t="s">
        <v>338</v>
      </c>
      <c r="E12" s="110" t="s">
        <v>10</v>
      </c>
    </row>
    <row r="13" spans="1:11">
      <c r="A13" s="112" t="s">
        <v>435</v>
      </c>
      <c r="B13" s="111"/>
      <c r="C13" s="109"/>
      <c r="D13" s="99"/>
      <c r="E13" s="110">
        <f>C13*D13</f>
        <v>0</v>
      </c>
    </row>
    <row r="14" spans="1:11">
      <c r="A14" s="119" t="s">
        <v>448</v>
      </c>
      <c r="B14" s="120"/>
      <c r="C14" s="96"/>
      <c r="D14" s="121"/>
      <c r="E14" s="101">
        <f t="shared" ref="E14:E15" si="2">C14*D14</f>
        <v>0</v>
      </c>
    </row>
    <row r="15" spans="1:11" ht="15.5" thickBot="1">
      <c r="A15" s="103" t="s">
        <v>499</v>
      </c>
      <c r="B15" s="118"/>
      <c r="C15" s="96"/>
      <c r="D15" s="104"/>
      <c r="E15" s="101">
        <f t="shared" si="2"/>
        <v>0</v>
      </c>
    </row>
  </sheetData>
  <mergeCells count="6">
    <mergeCell ref="B12:C12"/>
    <mergeCell ref="A2:E2"/>
    <mergeCell ref="B3:C3"/>
    <mergeCell ref="G2:K2"/>
    <mergeCell ref="H3:I3"/>
    <mergeCell ref="A11:E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EA25CC0A0AC24199CDC46C25B8B0BC" ma:contentTypeVersion="10" ma:contentTypeDescription="Create a new document." ma:contentTypeScope="" ma:versionID="e3b47856d4cf355c0dacb39e1084d14f">
  <xsd:schema xmlns:xsd="http://www.w3.org/2001/XMLSchema" xmlns:xs="http://www.w3.org/2001/XMLSchema" xmlns:p="http://schemas.microsoft.com/office/2006/metadata/properties" xmlns:ns1="http://schemas.microsoft.com/sharepoint/v3" xmlns:ns2="6dc4bcd6-49db-4c07-9060-8acfc67cef9f" xmlns:ns3="fb0879af-3eba-417a-a55a-ffe6dcd6ca77" targetNamespace="http://schemas.microsoft.com/office/2006/metadata/properties" ma:root="true" ma:fieldsID="a845a615265fdb1f7b12cc65ac20ecbd" ns1:_="" ns2:_="" ns3:_="">
    <xsd:import namespace="http://schemas.microsoft.com/sharepoint/v3"/>
    <xsd:import namespace="6dc4bcd6-49db-4c07-9060-8acfc67cef9f"/>
    <xsd:import namespace="fb0879af-3eba-417a-a55a-ffe6dcd6ca77"/>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3:LastSharedByUser" minOccurs="0"/>
                <xsd:element ref="ns3:LastSharedByTime" minOccurs="0"/>
                <xsd:element ref="ns1:_ip_UnifiedCompliancePolicyProperties" minOccurs="0"/>
                <xsd:element ref="ns1:_ip_UnifiedCompliancePolicyUIActio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4bcd6-49db-4c07-9060-8acfc67cef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7" nillable="true" ma:displayName="MediaServiceAuto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879af-3eba-417a-a55a-ffe6dcd6ca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LastSharedByUser" ma:index="13" nillable="true" ma:displayName="Last Shared By User" ma:hidden="true" ma:internalName="LastSharedByUser" ma:readOnly="true">
      <xsd:simpleType>
        <xsd:restriction base="dms:Note"/>
      </xsd:simpleType>
    </xsd:element>
    <xsd:element name="LastSharedByTime" ma:index="14"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2.xml><?xml version="1.0" encoding="utf-8"?>
<ds:datastoreItem xmlns:ds="http://schemas.openxmlformats.org/officeDocument/2006/customXml" ds:itemID="{81F3298A-223B-42B2-9FEF-AB506EA6B5F6}">
  <ds:schemaRefs>
    <ds:schemaRef ds:uri="http://purl.org/dc/elements/1.1/"/>
    <ds:schemaRef ds:uri="http://schemas.microsoft.com/office/2006/metadata/properties"/>
    <ds:schemaRef ds:uri="http://schemas.microsoft.com/office/2006/documentManagement/types"/>
    <ds:schemaRef ds:uri="http://schemas.microsoft.com/sharepoint/v3"/>
    <ds:schemaRef ds:uri="http://purl.org/dc/terms/"/>
    <ds:schemaRef ds:uri="http://schemas.openxmlformats.org/package/2006/metadata/core-properties"/>
    <ds:schemaRef ds:uri="http://purl.org/dc/dcmitype/"/>
    <ds:schemaRef ds:uri="http://schemas.microsoft.com/office/infopath/2007/PartnerControls"/>
    <ds:schemaRef ds:uri="fb0879af-3eba-417a-a55a-ffe6dcd6ca77"/>
    <ds:schemaRef ds:uri="6dc4bcd6-49db-4c07-9060-8acfc67cef9f"/>
    <ds:schemaRef ds:uri="http://www.w3.org/XML/1998/namespace"/>
  </ds:schemaRefs>
</ds:datastoreItem>
</file>

<file path=customXml/itemProps3.xml><?xml version="1.0" encoding="utf-8"?>
<ds:datastoreItem xmlns:ds="http://schemas.openxmlformats.org/officeDocument/2006/customXml" ds:itemID="{E1227E31-123E-44EE-A422-2705DF3A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c4bcd6-49db-4c07-9060-8acfc67cef9f"/>
    <ds:schemaRef ds:uri="fb0879af-3eba-417a-a55a-ffe6dcd6c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Inventory List</vt:lpstr>
      <vt:lpstr>Sheet2</vt:lpstr>
      <vt:lpstr>Price</vt:lpstr>
      <vt:lpstr>Lunch Sambar</vt:lpstr>
      <vt:lpstr>Rasam</vt:lpstr>
      <vt:lpstr>Pasi Paruppu</vt:lpstr>
      <vt:lpstr>PULI KUZHAMBU</vt:lpstr>
      <vt:lpstr>MOOR KUZHABU</vt:lpstr>
      <vt:lpstr> CUTLET</vt:lpstr>
      <vt:lpstr>PORIYAL</vt:lpstr>
      <vt:lpstr>KOOTU</vt:lpstr>
      <vt:lpstr>KARA CURRY</vt:lpstr>
      <vt:lpstr>PARUPPU VADAI</vt:lpstr>
      <vt:lpstr>PAYASAM</vt:lpstr>
      <vt:lpstr>TIFFEN SAMBAR</vt:lpstr>
      <vt:lpstr>UPMA</vt:lpstr>
      <vt:lpstr>PONGAL</vt:lpstr>
      <vt:lpstr>RAVA KICHADI</vt:lpstr>
      <vt:lpstr>POORI MASALA</vt:lpstr>
      <vt:lpstr>ULLUNDHU VADAI</vt:lpstr>
      <vt:lpstr>CURD RICE</vt:lpstr>
      <vt:lpstr>VEG BIRYANI</vt:lpstr>
      <vt:lpstr>CHI R MUTTON BIRYANI</vt:lpstr>
      <vt:lpstr>GHEE RICE</vt:lpstr>
      <vt:lpstr>KADALA CURRY</vt:lpstr>
      <vt:lpstr>CHI OR MUT KULAMBHU</vt:lpstr>
      <vt:lpstr>PANNER BUTTER MASALA</vt:lpstr>
      <vt:lpstr>KARA CHATNI</vt:lpstr>
      <vt:lpstr>TOMATO CHATNI</vt:lpstr>
      <vt:lpstr>COCONUT CHATNI</vt:lpstr>
      <vt:lpstr>COFFEE TEA SUKKU PAAL</vt:lpstr>
      <vt:lpstr>'Inventory List'!Print_Titles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2026-02-16T04:37:02Z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0x010100DEEA25CC0A0AC24199CDC46C25B8B0BC</vt:lpwstr>
  </property>
</Properties>
</file>